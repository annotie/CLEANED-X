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CLEANED-X\"/>
    </mc:Choice>
  </mc:AlternateContent>
  <bookViews>
    <workbookView xWindow="0" yWindow="0" windowWidth="16815" windowHeight="8940" tabRatio="993" activeTab="7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state="hidden" r:id="rId17"/>
    <sheet name="Land Requirement " sheetId="32" state="hidden" r:id="rId18"/>
    <sheet name="Meat &amp; Milk " sheetId="27" state="hidden" r:id="rId19"/>
    <sheet name="Economics_Payback " sheetId="34" state="hidden" r:id="rId20"/>
    <sheet name="N balance" sheetId="17" state="hidden" r:id="rId21"/>
    <sheet name="Water" sheetId="39" state="hidden" r:id="rId22"/>
    <sheet name="SOC" sheetId="10" state="hidden" r:id="rId23"/>
    <sheet name="Biomass" sheetId="11" state="hidden" r:id="rId24"/>
    <sheet name="Soil erosion" sheetId="18" state="hidden" r:id="rId25"/>
    <sheet name="GHG Ent fermentation" sheetId="2" state="hidden" r:id="rId26"/>
    <sheet name="GHG Manure" sheetId="3" state="hidden" r:id="rId27"/>
    <sheet name="GHG Soil" sheetId="14" state="hidden" r:id="rId28"/>
    <sheet name="GHG Burning" sheetId="16" state="hidden" r:id="rId29"/>
    <sheet name="GHG Off-farm" sheetId="28" state="hidden" r:id="rId30"/>
    <sheet name="GHG Rice" sheetId="13" state="hidden" r:id="rId31"/>
    <sheet name="Trees-Carbon" sheetId="44" state="hidden" r:id="rId32"/>
  </sheets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parameters'!$A$2:$Z$2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INPUTS!$C$201</definedName>
    <definedName name="Brach">INPUTS!$C$205</definedName>
    <definedName name="Cowimpr">INPUTS!$C$213</definedName>
    <definedName name="Cowloc">INPUTS!$C$212</definedName>
    <definedName name="crop_parameters" localSheetId="11">'[1]Crop parameters'!$A$3:$Q$27</definedName>
    <definedName name="crop_parameters">'Crop parameters'!$A$3:$Q$21</definedName>
    <definedName name="Cstockch">INPUTS!$C$196</definedName>
    <definedName name="erosion">INPUTS!$C$186</definedName>
    <definedName name="erosion__t_yr">INPUTS!$C$186</definedName>
    <definedName name="Feed" localSheetId="11">'Feed parameters'!$A$2:$I$114</definedName>
    <definedName name="Feed">'Feed parameters'!$A$2:$I$53</definedName>
    <definedName name="feedlist" localSheetId="11">'Feed parameters'!$A$3:$A$114</definedName>
    <definedName name="feedlist">'Feed parameters'!$A$3:$A$53</definedName>
    <definedName name="feedparameters_tbl" localSheetId="11">'Feed parameters'!$A$2:$I$114</definedName>
    <definedName name="feedparameters_tbl">'Feed parameters'!$A$2:$I$53</definedName>
    <definedName name="GHGha">INPUTS!$C$195</definedName>
    <definedName name="GHGmeat">INPUTS!$C$193</definedName>
    <definedName name="GHGmilk">INPUTS!$C$192</definedName>
    <definedName name="GHGprotein">INPUTS!$C$194</definedName>
    <definedName name="GHGtot">INPUTS!$C$191</definedName>
    <definedName name="Glir">INPUTS!$C$211</definedName>
    <definedName name="Hyp">INPUTS!$C$206</definedName>
    <definedName name="Land_cover_erosion" localSheetId="11">'[1]Soil erosion parameters'!$B$23:$B$36</definedName>
    <definedName name="Land_cover_erosion">'Soil erosion parameters'!$B$23:$B$36</definedName>
    <definedName name="land_req">INPUTS!$C$187</definedName>
    <definedName name="Landarea">[2]Input!$D$30</definedName>
    <definedName name="Landuse_System_RUSLE">'Soil erosion parameters'!$B$39:$B$41</definedName>
    <definedName name="Maize">INPUTS!$C$207</definedName>
    <definedName name="meat">INPUTS!$C$189</definedName>
    <definedName name="milk">INPUTS!$C$188</definedName>
    <definedName name="milkha">INPUTS!#REF!</definedName>
    <definedName name="MMS">'Crop parameters'!$A$53:$A$55</definedName>
    <definedName name="molasses">INPUTS!$C$210</definedName>
    <definedName name="Nbal">INPUTS!$C$183</definedName>
    <definedName name="Nbalha">INPUTS!$C$183</definedName>
    <definedName name="Nbaltot">INPUTS!$C$182</definedName>
    <definedName name="OrganicAmendment">'GHG Rice'!$A$42:$A$47</definedName>
    <definedName name="Penn">INPUTS!$C$208</definedName>
    <definedName name="_xlnm.Print_Area" localSheetId="13">'GHG Parameters'!#REF!</definedName>
    <definedName name="protein">INPUTS!$C$190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INPUTS!$C$185</definedName>
    <definedName name="soil_mining">INPUTS!$C$184</definedName>
    <definedName name="soilleach">INPUTS!$B$185</definedName>
    <definedName name="soilmining">INPUTS!$B$184</definedName>
    <definedName name="Sorghum">INPUTS!$C$209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INPUTS!$C$200</definedName>
    <definedName name="watermeat">INPUTS!$C$198</definedName>
    <definedName name="watermilk">INPUTS!$C$197</definedName>
    <definedName name="waterprotein">INPUTS!$C$199</definedName>
  </definedNames>
  <calcPr calcId="162913"/>
</workbook>
</file>

<file path=xl/calcChain.xml><?xml version="1.0" encoding="utf-8"?>
<calcChain xmlns="http://schemas.openxmlformats.org/spreadsheetml/2006/main">
  <c r="H10" i="39" l="1"/>
  <c r="G10" i="39"/>
  <c r="F10" i="39"/>
  <c r="E10" i="39"/>
  <c r="D10" i="39"/>
  <c r="C10" i="39"/>
  <c r="B10" i="39"/>
  <c r="V21" i="24" l="1"/>
  <c r="V20" i="24"/>
  <c r="U15" i="24" l="1"/>
  <c r="U14" i="24"/>
  <c r="U13" i="24"/>
  <c r="U12" i="24"/>
  <c r="U11" i="24"/>
  <c r="U10" i="24"/>
  <c r="U9" i="24"/>
  <c r="U8" i="24"/>
  <c r="U7" i="24"/>
  <c r="U6" i="24"/>
  <c r="U5" i="24"/>
  <c r="U4" i="24"/>
  <c r="U3" i="24"/>
  <c r="U2" i="24"/>
  <c r="T15" i="24"/>
  <c r="T14" i="24"/>
  <c r="T13" i="24"/>
  <c r="T12" i="24"/>
  <c r="T11" i="24"/>
  <c r="T10" i="24"/>
  <c r="T9" i="24"/>
  <c r="T8" i="24"/>
  <c r="T7" i="24"/>
  <c r="T6" i="24"/>
  <c r="T5" i="24"/>
  <c r="T4" i="24"/>
  <c r="T3" i="24"/>
  <c r="T2" i="24"/>
  <c r="J13" i="10" l="1"/>
  <c r="I13" i="10"/>
  <c r="H13" i="10"/>
  <c r="I11" i="29" l="1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5" i="23"/>
  <c r="M14" i="23"/>
  <c r="M11" i="23"/>
  <c r="M10" i="23"/>
  <c r="M8" i="23"/>
  <c r="M5" i="23"/>
  <c r="M4" i="23"/>
  <c r="M3" i="23"/>
  <c r="U32" i="23" l="1"/>
  <c r="U33" i="23"/>
  <c r="U34" i="23"/>
  <c r="U35" i="23"/>
  <c r="U36" i="23"/>
  <c r="U37" i="23"/>
  <c r="U38" i="23"/>
  <c r="U39" i="23"/>
  <c r="U40" i="23"/>
  <c r="U41" i="23"/>
  <c r="U42" i="23"/>
  <c r="U43" i="23"/>
  <c r="P32" i="23"/>
  <c r="P33" i="23"/>
  <c r="F32" i="23"/>
  <c r="G32" i="23"/>
  <c r="I32" i="23"/>
  <c r="F33" i="23"/>
  <c r="H33" i="23" s="1"/>
  <c r="G33" i="23"/>
  <c r="D32" i="23"/>
  <c r="D33" i="23"/>
  <c r="I33" i="23" s="1"/>
  <c r="D34" i="23"/>
  <c r="I34" i="23" s="1"/>
  <c r="D35" i="23"/>
  <c r="I35" i="23" s="1"/>
  <c r="D36" i="23"/>
  <c r="D37" i="23"/>
  <c r="D38" i="23"/>
  <c r="D39" i="23"/>
  <c r="F4" i="23"/>
  <c r="F5" i="23"/>
  <c r="F6" i="23"/>
  <c r="F7" i="23"/>
  <c r="H7" i="23" s="1"/>
  <c r="M7" i="23" s="1"/>
  <c r="F8" i="23"/>
  <c r="F9" i="23"/>
  <c r="F10" i="23"/>
  <c r="F11" i="23"/>
  <c r="F12" i="23"/>
  <c r="F13" i="23"/>
  <c r="F14" i="23"/>
  <c r="F15" i="23"/>
  <c r="H15" i="23" s="1"/>
  <c r="F16" i="23"/>
  <c r="F17" i="23"/>
  <c r="F18" i="23"/>
  <c r="F19" i="23"/>
  <c r="F20" i="23"/>
  <c r="F21" i="23"/>
  <c r="F22" i="23"/>
  <c r="F23" i="23"/>
  <c r="H23" i="23" s="1"/>
  <c r="F24" i="23"/>
  <c r="F25" i="23"/>
  <c r="F26" i="23"/>
  <c r="F27" i="23"/>
  <c r="F28" i="23"/>
  <c r="F29" i="23"/>
  <c r="F30" i="23"/>
  <c r="F31" i="23"/>
  <c r="H31" i="23" s="1"/>
  <c r="F34" i="23"/>
  <c r="F35" i="23"/>
  <c r="F36" i="23"/>
  <c r="F37" i="23"/>
  <c r="F38" i="23"/>
  <c r="F39" i="23"/>
  <c r="F40" i="23"/>
  <c r="H40" i="23" s="1"/>
  <c r="F41" i="23"/>
  <c r="H41" i="23" s="1"/>
  <c r="F42" i="23"/>
  <c r="F43" i="23"/>
  <c r="F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9" i="23"/>
  <c r="P30" i="23"/>
  <c r="P31" i="23"/>
  <c r="P34" i="23"/>
  <c r="P35" i="23"/>
  <c r="P36" i="23"/>
  <c r="P37" i="23"/>
  <c r="P38" i="23"/>
  <c r="P39" i="23"/>
  <c r="P40" i="23"/>
  <c r="P41" i="23"/>
  <c r="P42" i="23"/>
  <c r="P43" i="23"/>
  <c r="P3" i="23"/>
  <c r="I10" i="23"/>
  <c r="I11" i="23"/>
  <c r="I18" i="23"/>
  <c r="I19" i="23"/>
  <c r="I7" i="23"/>
  <c r="I8" i="23"/>
  <c r="D24" i="23"/>
  <c r="I24" i="23" s="1"/>
  <c r="D25" i="23"/>
  <c r="I25" i="23" s="1"/>
  <c r="D26" i="23"/>
  <c r="I26" i="23" s="1"/>
  <c r="D27" i="23"/>
  <c r="I27" i="23" s="1"/>
  <c r="D28" i="23"/>
  <c r="I28" i="23" s="1"/>
  <c r="D29" i="23"/>
  <c r="I29" i="23" s="1"/>
  <c r="D30" i="23"/>
  <c r="I30" i="23" s="1"/>
  <c r="D31" i="23"/>
  <c r="I31" i="23" s="1"/>
  <c r="I36" i="23"/>
  <c r="I37" i="23"/>
  <c r="I38" i="23"/>
  <c r="I39" i="23"/>
  <c r="D40" i="23"/>
  <c r="I40" i="23" s="1"/>
  <c r="D41" i="23"/>
  <c r="I41" i="23" s="1"/>
  <c r="D42" i="23"/>
  <c r="I42" i="23" s="1"/>
  <c r="D43" i="23"/>
  <c r="I43" i="23" s="1"/>
  <c r="D23" i="23"/>
  <c r="I23" i="23" s="1"/>
  <c r="D4" i="23"/>
  <c r="D5" i="23"/>
  <c r="I5" i="23" s="1"/>
  <c r="D6" i="23"/>
  <c r="I6" i="23" s="1"/>
  <c r="D7" i="23"/>
  <c r="D8" i="23"/>
  <c r="D9" i="23"/>
  <c r="I9" i="23" s="1"/>
  <c r="D10" i="23"/>
  <c r="D11" i="23"/>
  <c r="D12" i="23"/>
  <c r="I12" i="23" s="1"/>
  <c r="D13" i="23"/>
  <c r="I13" i="23" s="1"/>
  <c r="D14" i="23"/>
  <c r="I14" i="23" s="1"/>
  <c r="D15" i="23"/>
  <c r="I15" i="23" s="1"/>
  <c r="D16" i="23"/>
  <c r="I16" i="23" s="1"/>
  <c r="D17" i="23"/>
  <c r="I17" i="23" s="1"/>
  <c r="D18" i="23"/>
  <c r="D19" i="23"/>
  <c r="D20" i="23"/>
  <c r="I20" i="23" s="1"/>
  <c r="D21" i="23"/>
  <c r="D22" i="23"/>
  <c r="D3" i="23"/>
  <c r="G43" i="23"/>
  <c r="G4" i="23"/>
  <c r="G5" i="23"/>
  <c r="H5" i="23" s="1"/>
  <c r="G6" i="23"/>
  <c r="G7" i="23"/>
  <c r="G8" i="23"/>
  <c r="H8" i="23" s="1"/>
  <c r="G9" i="23"/>
  <c r="H9" i="23" s="1"/>
  <c r="M9" i="23" s="1"/>
  <c r="G10" i="23"/>
  <c r="H10" i="23" s="1"/>
  <c r="G11" i="23"/>
  <c r="G12" i="23"/>
  <c r="H12" i="23" s="1"/>
  <c r="M12" i="23" s="1"/>
  <c r="G13" i="23"/>
  <c r="H13" i="23" s="1"/>
  <c r="G14" i="23"/>
  <c r="G15" i="23"/>
  <c r="G16" i="23"/>
  <c r="H16" i="23" s="1"/>
  <c r="M16" i="23" s="1"/>
  <c r="G17" i="23"/>
  <c r="H17" i="23" s="1"/>
  <c r="G18" i="23"/>
  <c r="H18" i="23" s="1"/>
  <c r="G19" i="23"/>
  <c r="G20" i="23"/>
  <c r="H20" i="23" s="1"/>
  <c r="G21" i="23"/>
  <c r="G22" i="23"/>
  <c r="G23" i="23"/>
  <c r="G24" i="23"/>
  <c r="H24" i="23" s="1"/>
  <c r="G25" i="23"/>
  <c r="H25" i="23" s="1"/>
  <c r="G26" i="23"/>
  <c r="H26" i="23" s="1"/>
  <c r="G27" i="23"/>
  <c r="G29" i="23"/>
  <c r="H29" i="23" s="1"/>
  <c r="G30" i="23"/>
  <c r="G31" i="23"/>
  <c r="G34" i="23"/>
  <c r="H34" i="23" s="1"/>
  <c r="G35" i="23"/>
  <c r="G36" i="23"/>
  <c r="H36" i="23" s="1"/>
  <c r="G37" i="23"/>
  <c r="G38" i="23"/>
  <c r="H38" i="23" s="1"/>
  <c r="G39" i="23"/>
  <c r="G40" i="23"/>
  <c r="G41" i="23"/>
  <c r="G42" i="23"/>
  <c r="G3" i="23"/>
  <c r="H4" i="23"/>
  <c r="U5" i="23"/>
  <c r="U6" i="23"/>
  <c r="U7" i="23"/>
  <c r="U8" i="23"/>
  <c r="J9" i="23"/>
  <c r="U9" i="23"/>
  <c r="U10" i="23"/>
  <c r="U11" i="23"/>
  <c r="U12" i="23"/>
  <c r="U13" i="23"/>
  <c r="U14" i="23"/>
  <c r="U16" i="23"/>
  <c r="U17" i="23"/>
  <c r="U19" i="23"/>
  <c r="U20" i="23"/>
  <c r="J21" i="23"/>
  <c r="K21" i="23"/>
  <c r="I21" i="23" s="1"/>
  <c r="U21" i="23"/>
  <c r="J22" i="23"/>
  <c r="K22" i="23"/>
  <c r="I22" i="23" s="1"/>
  <c r="U22" i="23"/>
  <c r="U23" i="23"/>
  <c r="U25" i="23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D71" i="36"/>
  <c r="D72" i="36"/>
  <c r="D73" i="36"/>
  <c r="D74" i="36"/>
  <c r="D75" i="36"/>
  <c r="D76" i="36"/>
  <c r="D77" i="36"/>
  <c r="D78" i="36"/>
  <c r="D79" i="36"/>
  <c r="D80" i="36"/>
  <c r="D81" i="36"/>
  <c r="D82" i="36"/>
  <c r="D83" i="36"/>
  <c r="D84" i="36"/>
  <c r="D85" i="36"/>
  <c r="D86" i="36"/>
  <c r="D87" i="36"/>
  <c r="D88" i="36"/>
  <c r="D89" i="36"/>
  <c r="D90" i="36"/>
  <c r="D91" i="36"/>
  <c r="D92" i="36"/>
  <c r="D93" i="36"/>
  <c r="D94" i="36"/>
  <c r="D95" i="36"/>
  <c r="D96" i="36"/>
  <c r="D97" i="36"/>
  <c r="D98" i="36"/>
  <c r="D99" i="36"/>
  <c r="D100" i="36"/>
  <c r="D101" i="36"/>
  <c r="D102" i="36"/>
  <c r="D103" i="36"/>
  <c r="D104" i="36"/>
  <c r="D105" i="36"/>
  <c r="D106" i="36"/>
  <c r="D107" i="36"/>
  <c r="D108" i="36"/>
  <c r="D109" i="36"/>
  <c r="D110" i="36"/>
  <c r="D111" i="36"/>
  <c r="D112" i="36"/>
  <c r="D113" i="36"/>
  <c r="D114" i="36"/>
  <c r="D3" i="36"/>
  <c r="D5" i="36"/>
  <c r="H30" i="23" l="1"/>
  <c r="H22" i="23"/>
  <c r="H14" i="23"/>
  <c r="H6" i="23"/>
  <c r="M6" i="23" s="1"/>
  <c r="M13" i="23"/>
  <c r="H37" i="23"/>
  <c r="H27" i="23"/>
  <c r="H19" i="23"/>
  <c r="H11" i="23"/>
  <c r="H32" i="23"/>
  <c r="H39" i="23"/>
  <c r="H35" i="23"/>
  <c r="H21" i="23"/>
  <c r="H3" i="23"/>
  <c r="U31" i="23"/>
  <c r="U30" i="23"/>
  <c r="G44" i="36"/>
  <c r="F44" i="36"/>
  <c r="N23" i="24"/>
  <c r="X6" i="32" l="1"/>
  <c r="X7" i="32"/>
  <c r="AD7" i="32" s="1"/>
  <c r="X8" i="32"/>
  <c r="X9" i="32"/>
  <c r="AD9" i="32" s="1"/>
  <c r="X10" i="32"/>
  <c r="AB10" i="32" s="1"/>
  <c r="X11" i="32"/>
  <c r="AC11" i="32" s="1"/>
  <c r="X12" i="32"/>
  <c r="AD12" i="32" s="1"/>
  <c r="X13" i="32"/>
  <c r="X14" i="32"/>
  <c r="AD14" i="32" s="1"/>
  <c r="X15" i="32"/>
  <c r="AD15" i="32" s="1"/>
  <c r="X16" i="32"/>
  <c r="X17" i="32"/>
  <c r="AD17" i="32" s="1"/>
  <c r="X18" i="32"/>
  <c r="AD18" i="32" s="1"/>
  <c r="X19" i="32"/>
  <c r="AD19" i="32" s="1"/>
  <c r="AC98" i="30"/>
  <c r="AB98" i="30"/>
  <c r="AA98" i="30"/>
  <c r="Z98" i="30"/>
  <c r="Y98" i="30"/>
  <c r="X98" i="30"/>
  <c r="W98" i="30"/>
  <c r="AC91" i="30"/>
  <c r="AB91" i="30"/>
  <c r="AA91" i="30"/>
  <c r="Z91" i="30"/>
  <c r="Y91" i="30"/>
  <c r="X91" i="30"/>
  <c r="W91" i="30"/>
  <c r="AC84" i="30"/>
  <c r="AB84" i="30"/>
  <c r="AA84" i="30"/>
  <c r="Z84" i="30"/>
  <c r="Y84" i="30"/>
  <c r="X84" i="30"/>
  <c r="W84" i="30"/>
  <c r="AC77" i="30"/>
  <c r="AB77" i="30"/>
  <c r="AA77" i="30"/>
  <c r="Z77" i="30"/>
  <c r="Y77" i="30"/>
  <c r="X77" i="30"/>
  <c r="W77" i="30"/>
  <c r="AC70" i="30"/>
  <c r="AB70" i="30"/>
  <c r="AA70" i="30"/>
  <c r="Z70" i="30"/>
  <c r="Y70" i="30"/>
  <c r="X70" i="30"/>
  <c r="W70" i="30"/>
  <c r="AC63" i="30"/>
  <c r="AB63" i="30"/>
  <c r="AA63" i="30"/>
  <c r="Z63" i="30"/>
  <c r="Y63" i="30"/>
  <c r="X63" i="30"/>
  <c r="W63" i="30"/>
  <c r="AC56" i="30"/>
  <c r="AB56" i="30"/>
  <c r="AA56" i="30"/>
  <c r="Z56" i="30"/>
  <c r="Y56" i="30"/>
  <c r="X56" i="30"/>
  <c r="W56" i="30"/>
  <c r="AC49" i="30"/>
  <c r="AB49" i="30"/>
  <c r="AA49" i="30"/>
  <c r="Z49" i="30"/>
  <c r="Y49" i="30"/>
  <c r="X49" i="30"/>
  <c r="W49" i="30"/>
  <c r="AC42" i="30"/>
  <c r="AB42" i="30"/>
  <c r="AA42" i="30"/>
  <c r="Z42" i="30"/>
  <c r="Y42" i="30"/>
  <c r="X42" i="30"/>
  <c r="W42" i="30"/>
  <c r="AC35" i="30"/>
  <c r="AB35" i="30"/>
  <c r="AA35" i="30"/>
  <c r="Z35" i="30"/>
  <c r="Y35" i="30"/>
  <c r="X35" i="30"/>
  <c r="W35" i="30"/>
  <c r="AC28" i="30"/>
  <c r="AB28" i="30"/>
  <c r="AA28" i="30"/>
  <c r="Z28" i="30"/>
  <c r="Y28" i="30"/>
  <c r="X28" i="30"/>
  <c r="W28" i="30"/>
  <c r="AC21" i="30"/>
  <c r="AB21" i="30"/>
  <c r="AA21" i="30"/>
  <c r="Z21" i="30"/>
  <c r="Y21" i="30"/>
  <c r="X21" i="30"/>
  <c r="W21" i="30"/>
  <c r="AC14" i="30"/>
  <c r="AB14" i="30"/>
  <c r="AA14" i="30"/>
  <c r="Z14" i="30"/>
  <c r="Y14" i="30"/>
  <c r="X14" i="30"/>
  <c r="W14" i="30"/>
  <c r="AC7" i="30"/>
  <c r="AB7" i="30"/>
  <c r="AA7" i="30"/>
  <c r="Z7" i="30"/>
  <c r="Y7" i="30"/>
  <c r="X7" i="30"/>
  <c r="W7" i="30"/>
  <c r="Y3" i="30"/>
  <c r="D1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C10" i="32" l="1"/>
  <c r="AB18" i="32"/>
  <c r="AC19" i="32"/>
  <c r="AD11" i="32"/>
  <c r="AD10" i="32"/>
  <c r="AC15" i="32"/>
  <c r="AB17" i="32"/>
  <c r="AB9" i="32"/>
  <c r="AC9" i="32"/>
  <c r="AC18" i="32"/>
  <c r="AB6" i="32"/>
  <c r="AB7" i="32"/>
  <c r="AC8" i="32"/>
  <c r="AB16" i="32"/>
  <c r="AC17" i="32"/>
  <c r="AB8" i="32"/>
  <c r="AC6" i="32"/>
  <c r="AC7" i="32"/>
  <c r="AD8" i="32"/>
  <c r="AB12" i="32"/>
  <c r="AB13" i="32"/>
  <c r="AB14" i="32"/>
  <c r="AB15" i="32"/>
  <c r="AC16" i="32"/>
  <c r="AD6" i="32"/>
  <c r="AC12" i="32"/>
  <c r="AC14" i="32"/>
  <c r="AB11" i="32"/>
  <c r="AC13" i="32"/>
  <c r="AD16" i="32"/>
  <c r="AD13" i="32"/>
  <c r="AB19" i="32"/>
  <c r="G21" i="24"/>
  <c r="AD21" i="32" l="1"/>
  <c r="AC21" i="32"/>
  <c r="AB21" i="32"/>
  <c r="F26" i="18"/>
  <c r="F24" i="18"/>
  <c r="F25" i="18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175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8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10" i="9"/>
  <c r="G3" i="30" l="1"/>
  <c r="P3" i="30" l="1"/>
  <c r="A11" i="24"/>
  <c r="A15" i="32" s="1"/>
  <c r="N25" i="24" l="1"/>
  <c r="H25" i="24"/>
  <c r="G25" i="24"/>
  <c r="N21" i="24" l="1"/>
  <c r="H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D71" i="3" s="1"/>
  <c r="B70" i="3"/>
  <c r="D70" i="3" s="1"/>
  <c r="B69" i="3"/>
  <c r="D69" i="3" s="1"/>
  <c r="B68" i="3"/>
  <c r="D68" i="3" s="1"/>
  <c r="B67" i="3"/>
  <c r="D67" i="3" s="1"/>
  <c r="B66" i="3"/>
  <c r="D66" i="3" s="1"/>
  <c r="B65" i="3"/>
  <c r="D65" i="3" s="1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D22" i="3" s="1"/>
  <c r="B21" i="3"/>
  <c r="D21" i="3" s="1"/>
  <c r="B20" i="3"/>
  <c r="D20" i="3" s="1"/>
  <c r="B19" i="3"/>
  <c r="D19" i="3" s="1"/>
  <c r="B18" i="3"/>
  <c r="D18" i="3" s="1"/>
  <c r="B98" i="30" l="1"/>
  <c r="B91" i="30"/>
  <c r="B84" i="30"/>
  <c r="B77" i="30"/>
  <c r="B70" i="30"/>
  <c r="P55" i="1"/>
  <c r="O55" i="1"/>
  <c r="N55" i="1"/>
  <c r="M55" i="1"/>
  <c r="L55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N174" i="30"/>
  <c r="M174" i="30"/>
  <c r="L174" i="30"/>
  <c r="K174" i="30"/>
  <c r="J174" i="30"/>
  <c r="I174" i="30"/>
  <c r="H174" i="30"/>
  <c r="G174" i="30"/>
  <c r="N173" i="30"/>
  <c r="M173" i="30"/>
  <c r="L173" i="30"/>
  <c r="K173" i="30"/>
  <c r="J173" i="30"/>
  <c r="I173" i="30"/>
  <c r="H173" i="30"/>
  <c r="G173" i="30"/>
  <c r="N172" i="30"/>
  <c r="M172" i="30"/>
  <c r="L172" i="30"/>
  <c r="K172" i="30"/>
  <c r="J172" i="30"/>
  <c r="I172" i="30"/>
  <c r="H172" i="30"/>
  <c r="G172" i="30"/>
  <c r="N171" i="30"/>
  <c r="M171" i="30"/>
  <c r="L171" i="30"/>
  <c r="K171" i="30"/>
  <c r="J171" i="30"/>
  <c r="I171" i="30"/>
  <c r="H171" i="30"/>
  <c r="G171" i="30"/>
  <c r="N170" i="30"/>
  <c r="M170" i="30"/>
  <c r="L170" i="30"/>
  <c r="K170" i="30"/>
  <c r="J170" i="30"/>
  <c r="I170" i="30"/>
  <c r="H170" i="30"/>
  <c r="G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9" i="32" s="1"/>
  <c r="A14" i="24"/>
  <c r="A18" i="32" s="1"/>
  <c r="A13" i="24"/>
  <c r="A17" i="32" s="1"/>
  <c r="A12" i="24"/>
  <c r="A16" i="32" s="1"/>
  <c r="AC14" i="24" l="1"/>
  <c r="M14" i="24"/>
  <c r="G120" i="30" s="1"/>
  <c r="E14" i="24"/>
  <c r="AJ14" i="24"/>
  <c r="AB14" i="24"/>
  <c r="H15" i="27" s="1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M15" i="24"/>
  <c r="G121" i="30" s="1"/>
  <c r="E15" i="24"/>
  <c r="K15" i="24"/>
  <c r="AJ15" i="24"/>
  <c r="AB15" i="24"/>
  <c r="H16" i="27" s="1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M12" i="24"/>
  <c r="G118" i="30" s="1"/>
  <c r="E12" i="24"/>
  <c r="AJ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M13" i="24"/>
  <c r="G119" i="30" s="1"/>
  <c r="E13" i="24"/>
  <c r="Q13" i="24"/>
  <c r="AJ13" i="24"/>
  <c r="AB13" i="24"/>
  <c r="H14" i="27" s="1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14" i="32" s="1"/>
  <c r="A9" i="24"/>
  <c r="A13" i="32" s="1"/>
  <c r="N13" i="27" l="1"/>
  <c r="C135" i="30"/>
  <c r="O135" i="30" s="1"/>
  <c r="N14" i="27"/>
  <c r="M14" i="27"/>
  <c r="N16" i="27"/>
  <c r="M16" i="27"/>
  <c r="N15" i="27"/>
  <c r="M15" i="27"/>
  <c r="M12" i="27"/>
  <c r="N12" i="27"/>
  <c r="B137" i="30"/>
  <c r="F137" i="30" s="1"/>
  <c r="C138" i="30"/>
  <c r="O138" i="30" s="1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M10" i="24"/>
  <c r="G116" i="30" s="1"/>
  <c r="E10" i="24"/>
  <c r="R10" i="24"/>
  <c r="L116" i="30" s="1"/>
  <c r="AJ10" i="24"/>
  <c r="AB10" i="24"/>
  <c r="H11" i="27" s="1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K9" i="24"/>
  <c r="AI9" i="24"/>
  <c r="C9" i="24"/>
  <c r="AA9" i="24"/>
  <c r="S9" i="24"/>
  <c r="M115" i="30" s="1"/>
  <c r="C136" i="30"/>
  <c r="O136" i="30" s="1"/>
  <c r="C139" i="30"/>
  <c r="O139" i="30" s="1"/>
  <c r="B139" i="30"/>
  <c r="F139" i="30" s="1"/>
  <c r="B138" i="30"/>
  <c r="F138" i="30" s="1"/>
  <c r="C137" i="30"/>
  <c r="O137" i="30" s="1"/>
  <c r="B136" i="30"/>
  <c r="F136" i="30" s="1"/>
  <c r="B15" i="2"/>
  <c r="D15" i="2" s="1"/>
  <c r="B16" i="2"/>
  <c r="D16" i="2" s="1"/>
  <c r="A8" i="24"/>
  <c r="A12" i="32" s="1"/>
  <c r="A7" i="24"/>
  <c r="A11" i="32" s="1"/>
  <c r="A6" i="24"/>
  <c r="A10" i="32" s="1"/>
  <c r="A5" i="24"/>
  <c r="A9" i="32" s="1"/>
  <c r="A4" i="24"/>
  <c r="A8" i="32" s="1"/>
  <c r="A3" i="24"/>
  <c r="A7" i="32" s="1"/>
  <c r="A2" i="24"/>
  <c r="A6" i="32" s="1"/>
  <c r="L11" i="27" l="1"/>
  <c r="N11" i="27" s="1"/>
  <c r="L10" i="27"/>
  <c r="M10" i="27" s="1"/>
  <c r="J11" i="27"/>
  <c r="I11" i="27"/>
  <c r="C66" i="3"/>
  <c r="D11" i="27"/>
  <c r="C65" i="3"/>
  <c r="D10" i="27"/>
  <c r="AC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M7" i="24"/>
  <c r="G113" i="30" s="1"/>
  <c r="E7" i="24"/>
  <c r="AJ7" i="24"/>
  <c r="AB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M5" i="24"/>
  <c r="G111" i="30" s="1"/>
  <c r="E5" i="24"/>
  <c r="AJ5" i="24"/>
  <c r="AB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Y5" i="24"/>
  <c r="O5" i="24"/>
  <c r="I5" i="24"/>
  <c r="AE8" i="24"/>
  <c r="W8" i="24"/>
  <c r="O8" i="24"/>
  <c r="G8" i="24"/>
  <c r="AC8" i="24"/>
  <c r="M8" i="24"/>
  <c r="G114" i="30" s="1"/>
  <c r="E8" i="24"/>
  <c r="X8" i="24"/>
  <c r="AJ8" i="24"/>
  <c r="AB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M2" i="24"/>
  <c r="G108" i="30" s="1"/>
  <c r="E2" i="24"/>
  <c r="AJ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M4" i="24"/>
  <c r="G110" i="30" s="1"/>
  <c r="E4" i="24"/>
  <c r="J4" i="24"/>
  <c r="Z4" i="24"/>
  <c r="AJ4" i="24"/>
  <c r="D4" i="24"/>
  <c r="AH4" i="24"/>
  <c r="B4" i="24"/>
  <c r="AB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K111" i="30" l="1"/>
  <c r="M11" i="27"/>
  <c r="N10" i="27"/>
  <c r="L7" i="27"/>
  <c r="M7" i="27" s="1"/>
  <c r="C63" i="3"/>
  <c r="L6" i="27"/>
  <c r="N6" i="27" s="1"/>
  <c r="L4" i="27"/>
  <c r="M4" i="27" s="1"/>
  <c r="C58" i="3"/>
  <c r="C62" i="3"/>
  <c r="C60" i="3"/>
  <c r="L8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N7" i="27" l="1"/>
  <c r="M6" i="27"/>
  <c r="N4" i="27"/>
  <c r="N3" i="27"/>
  <c r="M3" i="27"/>
  <c r="N8" i="27"/>
  <c r="M8" i="27"/>
  <c r="N9" i="27"/>
  <c r="M9" i="27"/>
  <c r="N5" i="27"/>
  <c r="M5" i="27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Z16" i="32"/>
  <c r="CX16" i="32"/>
  <c r="CZ15" i="32"/>
  <c r="CX15" i="32"/>
  <c r="CJ16" i="32"/>
  <c r="CH16" i="32"/>
  <c r="CJ15" i="32"/>
  <c r="CH15" i="32"/>
  <c r="BT16" i="32"/>
  <c r="BR16" i="32"/>
  <c r="BT15" i="32"/>
  <c r="BR15" i="32"/>
  <c r="BD16" i="32"/>
  <c r="BB16" i="32"/>
  <c r="BD15" i="32"/>
  <c r="BB15" i="32"/>
  <c r="AN16" i="32"/>
  <c r="AL16" i="32"/>
  <c r="AN15" i="32"/>
  <c r="AL15" i="32"/>
  <c r="V16" i="32"/>
  <c r="H16" i="32"/>
  <c r="V15" i="32"/>
  <c r="H15" i="32"/>
  <c r="F16" i="32"/>
  <c r="F15" i="32"/>
  <c r="N169" i="30"/>
  <c r="M169" i="30"/>
  <c r="L169" i="30"/>
  <c r="K169" i="30"/>
  <c r="J169" i="30"/>
  <c r="I169" i="30"/>
  <c r="H169" i="30"/>
  <c r="G169" i="30"/>
  <c r="N168" i="30"/>
  <c r="M168" i="30"/>
  <c r="L168" i="30"/>
  <c r="K168" i="30"/>
  <c r="J168" i="30"/>
  <c r="I168" i="30"/>
  <c r="H168" i="30"/>
  <c r="G168" i="30"/>
  <c r="N167" i="30"/>
  <c r="M167" i="30"/>
  <c r="L167" i="30"/>
  <c r="K167" i="30"/>
  <c r="J167" i="30"/>
  <c r="I167" i="30"/>
  <c r="H167" i="30"/>
  <c r="G167" i="30"/>
  <c r="N166" i="30"/>
  <c r="M166" i="30"/>
  <c r="L166" i="30"/>
  <c r="K166" i="30"/>
  <c r="J166" i="30"/>
  <c r="I166" i="30"/>
  <c r="H166" i="30"/>
  <c r="G166" i="30"/>
  <c r="N165" i="30"/>
  <c r="M165" i="30"/>
  <c r="L165" i="30"/>
  <c r="K165" i="30"/>
  <c r="J165" i="30"/>
  <c r="I165" i="30"/>
  <c r="H165" i="30"/>
  <c r="G165" i="30"/>
  <c r="N164" i="30"/>
  <c r="M164" i="30"/>
  <c r="L164" i="30"/>
  <c r="K164" i="30"/>
  <c r="J164" i="30"/>
  <c r="I164" i="30"/>
  <c r="H164" i="30"/>
  <c r="G164" i="30"/>
  <c r="N163" i="30"/>
  <c r="M163" i="30"/>
  <c r="L163" i="30"/>
  <c r="K163" i="30"/>
  <c r="J163" i="30"/>
  <c r="I163" i="30"/>
  <c r="H163" i="30"/>
  <c r="G163" i="30"/>
  <c r="N162" i="30"/>
  <c r="M162" i="30"/>
  <c r="L162" i="30"/>
  <c r="K162" i="30"/>
  <c r="J162" i="30"/>
  <c r="I162" i="30"/>
  <c r="H162" i="30"/>
  <c r="G162" i="30"/>
  <c r="DF15" i="32" l="1"/>
  <c r="DE15" i="32"/>
  <c r="DD15" i="32"/>
  <c r="DD16" i="32"/>
  <c r="DF16" i="32"/>
  <c r="DE16" i="32"/>
  <c r="CP16" i="32"/>
  <c r="CO16" i="32"/>
  <c r="CN16" i="32"/>
  <c r="CO15" i="32"/>
  <c r="CP15" i="32"/>
  <c r="CN15" i="32"/>
  <c r="BJ16" i="32"/>
  <c r="BI16" i="32"/>
  <c r="BH16" i="32"/>
  <c r="BJ15" i="32"/>
  <c r="BI15" i="32"/>
  <c r="BH15" i="32"/>
  <c r="AT15" i="32"/>
  <c r="AS15" i="32"/>
  <c r="AR15" i="32"/>
  <c r="AT16" i="32"/>
  <c r="AS16" i="32"/>
  <c r="AR16" i="32"/>
  <c r="L16" i="32"/>
  <c r="N16" i="32"/>
  <c r="M15" i="32"/>
  <c r="N15" i="32"/>
  <c r="G162" i="3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M16" i="32"/>
  <c r="G9" i="27"/>
  <c r="H9" i="27" s="1"/>
  <c r="L15" i="32"/>
  <c r="G6" i="27"/>
  <c r="H6" i="27" s="1"/>
  <c r="G7" i="27"/>
  <c r="H7" i="27" s="1"/>
  <c r="G8" i="27"/>
  <c r="H8" i="27" s="1"/>
  <c r="E18" i="3"/>
  <c r="E19" i="3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3" i="1"/>
  <c r="AA63" i="1"/>
  <c r="M63" i="1"/>
  <c r="L63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1" i="24"/>
  <c r="N30" i="24"/>
  <c r="N29" i="24"/>
  <c r="N28" i="24"/>
  <c r="N10" i="24" s="1"/>
  <c r="H116" i="30" s="1"/>
  <c r="C126" i="1"/>
  <c r="C133" i="1"/>
  <c r="C127" i="1"/>
  <c r="C141" i="1"/>
  <c r="C147" i="1"/>
  <c r="C152" i="1"/>
  <c r="C132" i="1"/>
  <c r="C150" i="1"/>
  <c r="C134" i="1"/>
  <c r="C151" i="1"/>
  <c r="C145" i="1"/>
  <c r="C149" i="1"/>
  <c r="C153" i="1"/>
  <c r="C135" i="1"/>
  <c r="C123" i="1"/>
  <c r="C144" i="1"/>
  <c r="C146" i="1"/>
  <c r="C143" i="1"/>
  <c r="C142" i="1"/>
  <c r="C124" i="1"/>
  <c r="C131" i="1"/>
  <c r="P28" i="24" l="1"/>
  <c r="Q28" i="24"/>
  <c r="B129" i="1"/>
  <c r="A10" i="27"/>
  <c r="B134" i="1"/>
  <c r="B123" i="1"/>
  <c r="A4" i="27"/>
  <c r="B131" i="1"/>
  <c r="A33" i="34"/>
  <c r="B135" i="1"/>
  <c r="B125" i="1"/>
  <c r="A6" i="27"/>
  <c r="B133" i="1"/>
  <c r="B126" i="1"/>
  <c r="A7" i="27"/>
  <c r="B130" i="1"/>
  <c r="B127" i="1"/>
  <c r="A8" i="27"/>
  <c r="B124" i="1"/>
  <c r="A5" i="27"/>
  <c r="B128" i="1"/>
  <c r="A9" i="27"/>
  <c r="B132" i="1"/>
  <c r="A34" i="34"/>
  <c r="AA55" i="1"/>
  <c r="AP55" i="1" s="1"/>
  <c r="AB55" i="1"/>
  <c r="AQ55" i="1" s="1"/>
  <c r="H31" i="24"/>
  <c r="H30" i="24"/>
  <c r="H29" i="24"/>
  <c r="H28" i="24"/>
  <c r="C148" i="1"/>
  <c r="C128" i="1"/>
  <c r="C125" i="1"/>
  <c r="C130" i="1"/>
  <c r="C129" i="1"/>
  <c r="B144" i="1" l="1"/>
  <c r="D126" i="1"/>
  <c r="E126" i="1"/>
  <c r="E131" i="1"/>
  <c r="D131" i="1"/>
  <c r="B150" i="1"/>
  <c r="E132" i="1"/>
  <c r="D132" i="1"/>
  <c r="E123" i="1"/>
  <c r="D123" i="1"/>
  <c r="B146" i="1"/>
  <c r="D128" i="1"/>
  <c r="E128" i="1"/>
  <c r="B151" i="1"/>
  <c r="D133" i="1"/>
  <c r="E133" i="1"/>
  <c r="B152" i="1"/>
  <c r="D134" i="1"/>
  <c r="E134" i="1"/>
  <c r="B143" i="1"/>
  <c r="D125" i="1"/>
  <c r="E125" i="1"/>
  <c r="B147" i="1"/>
  <c r="D129" i="1"/>
  <c r="E129" i="1"/>
  <c r="D130" i="1"/>
  <c r="E130" i="1"/>
  <c r="E124" i="1"/>
  <c r="D124" i="1"/>
  <c r="B153" i="1"/>
  <c r="D135" i="1"/>
  <c r="E135" i="1"/>
  <c r="B145" i="1"/>
  <c r="D127" i="1"/>
  <c r="E127" i="1"/>
  <c r="H10" i="24"/>
  <c r="B116" i="30" s="1"/>
  <c r="Q6" i="24"/>
  <c r="K112" i="30" s="1"/>
  <c r="Q10" i="24"/>
  <c r="K116" i="30" s="1"/>
  <c r="P6" i="24"/>
  <c r="J112" i="30" s="1"/>
  <c r="P10" i="24"/>
  <c r="J116" i="30" s="1"/>
  <c r="B141" i="1"/>
  <c r="B149" i="1"/>
  <c r="B142" i="1"/>
  <c r="B148" i="1"/>
  <c r="J28" i="24"/>
  <c r="J10" i="24" s="1"/>
  <c r="D116" i="30" s="1"/>
  <c r="K28" i="24"/>
  <c r="G4" i="36"/>
  <c r="F4" i="36"/>
  <c r="D4" i="36"/>
  <c r="D147" i="1" l="1"/>
  <c r="E147" i="1"/>
  <c r="F147" i="1"/>
  <c r="G147" i="1"/>
  <c r="E153" i="1"/>
  <c r="F153" i="1"/>
  <c r="G153" i="1"/>
  <c r="D153" i="1"/>
  <c r="F151" i="1"/>
  <c r="G151" i="1"/>
  <c r="D151" i="1"/>
  <c r="E151" i="1"/>
  <c r="G150" i="1"/>
  <c r="E150" i="1"/>
  <c r="D150" i="1"/>
  <c r="F150" i="1"/>
  <c r="F143" i="1"/>
  <c r="G143" i="1"/>
  <c r="D143" i="1"/>
  <c r="E143" i="1"/>
  <c r="G149" i="1"/>
  <c r="D149" i="1"/>
  <c r="E149" i="1"/>
  <c r="F149" i="1"/>
  <c r="D148" i="1"/>
  <c r="E148" i="1"/>
  <c r="F148" i="1"/>
  <c r="G148" i="1"/>
  <c r="G142" i="1"/>
  <c r="E142" i="1"/>
  <c r="D142" i="1"/>
  <c r="F142" i="1"/>
  <c r="E146" i="1"/>
  <c r="F146" i="1"/>
  <c r="G146" i="1"/>
  <c r="D146" i="1"/>
  <c r="G141" i="1"/>
  <c r="D141" i="1"/>
  <c r="E141" i="1"/>
  <c r="F141" i="1"/>
  <c r="E145" i="1"/>
  <c r="F145" i="1"/>
  <c r="G145" i="1"/>
  <c r="D145" i="1"/>
  <c r="E152" i="1"/>
  <c r="F152" i="1"/>
  <c r="G152" i="1"/>
  <c r="D152" i="1"/>
  <c r="D144" i="1"/>
  <c r="F144" i="1"/>
  <c r="G144" i="1"/>
  <c r="E144" i="1"/>
  <c r="K6" i="24"/>
  <c r="E112" i="30" s="1"/>
  <c r="K10" i="24"/>
  <c r="E116" i="30" s="1"/>
  <c r="J6" i="24"/>
  <c r="D112" i="30" s="1"/>
  <c r="J7" i="24"/>
  <c r="D113" i="30" s="1"/>
  <c r="D5" i="44"/>
  <c r="D4" i="44"/>
  <c r="D2" i="44"/>
  <c r="C34" i="34" l="1"/>
  <c r="B33" i="34"/>
  <c r="B34" i="34"/>
  <c r="C33" i="34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F34" i="34" l="1"/>
  <c r="F33" i="34"/>
  <c r="K4" i="44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" i="24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Q8" i="44" s="1"/>
  <c r="S8" i="44" s="1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K32" i="24"/>
  <c r="K8" i="24" s="1"/>
  <c r="Q32" i="24"/>
  <c r="Q8" i="24" s="1"/>
  <c r="P32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57" i="1"/>
  <c r="G157" i="1" l="1"/>
  <c r="H157" i="1"/>
  <c r="F157" i="1"/>
  <c r="E157" i="1"/>
  <c r="G19" i="36"/>
  <c r="F19" i="36"/>
  <c r="B159" i="1"/>
  <c r="C140" i="1"/>
  <c r="B160" i="1"/>
  <c r="B162" i="1"/>
  <c r="B161" i="1"/>
  <c r="B158" i="1"/>
  <c r="B163" i="1"/>
  <c r="G162" i="1" l="1"/>
  <c r="G158" i="1"/>
  <c r="G161" i="1"/>
  <c r="G159" i="1"/>
  <c r="G163" i="1"/>
  <c r="G160" i="1"/>
  <c r="F162" i="1"/>
  <c r="H162" i="1"/>
  <c r="E162" i="1"/>
  <c r="F158" i="1"/>
  <c r="H158" i="1"/>
  <c r="E158" i="1"/>
  <c r="E161" i="1"/>
  <c r="H161" i="1"/>
  <c r="F161" i="1"/>
  <c r="H159" i="1"/>
  <c r="E159" i="1"/>
  <c r="F159" i="1"/>
  <c r="H163" i="1"/>
  <c r="F163" i="1"/>
  <c r="E163" i="1"/>
  <c r="F160" i="1"/>
  <c r="E160" i="1"/>
  <c r="H160" i="1"/>
  <c r="B167" i="1"/>
  <c r="G167" i="1" s="1"/>
  <c r="F167" i="1" l="1"/>
  <c r="E167" i="1"/>
  <c r="H167" i="1"/>
  <c r="AL6" i="32"/>
  <c r="G103" i="36" l="1"/>
  <c r="G72" i="36" l="1"/>
  <c r="F72" i="36" l="1"/>
  <c r="F103" i="36"/>
  <c r="Q62" i="1" l="1"/>
  <c r="AF62" i="1" s="1"/>
  <c r="Q61" i="1"/>
  <c r="AF61" i="1" s="1"/>
  <c r="Q60" i="1"/>
  <c r="AF60" i="1" s="1"/>
  <c r="Q59" i="1"/>
  <c r="AF59" i="1" s="1"/>
  <c r="Q58" i="1"/>
  <c r="AF58" i="1" s="1"/>
  <c r="Q57" i="1"/>
  <c r="AF57" i="1" s="1"/>
  <c r="Q56" i="1"/>
  <c r="AF56" i="1" s="1"/>
  <c r="G20" i="36" l="1"/>
  <c r="F20" i="36"/>
  <c r="G26" i="36"/>
  <c r="F26" i="36"/>
  <c r="CZ18" i="32"/>
  <c r="CX18" i="32"/>
  <c r="CJ18" i="32"/>
  <c r="CH18" i="32"/>
  <c r="BT18" i="32"/>
  <c r="BR18" i="32"/>
  <c r="BD18" i="32"/>
  <c r="BB18" i="32"/>
  <c r="AN18" i="32"/>
  <c r="AL18" i="32"/>
  <c r="CZ17" i="32"/>
  <c r="CX17" i="32"/>
  <c r="CJ17" i="32"/>
  <c r="CH17" i="32"/>
  <c r="BT17" i="32"/>
  <c r="BR17" i="32"/>
  <c r="BD17" i="32"/>
  <c r="BB17" i="32"/>
  <c r="AN17" i="32"/>
  <c r="AL17" i="32"/>
  <c r="V18" i="32"/>
  <c r="V17" i="32"/>
  <c r="H18" i="32"/>
  <c r="H17" i="32"/>
  <c r="F18" i="32"/>
  <c r="F17" i="32"/>
  <c r="G46" i="36"/>
  <c r="F46" i="36"/>
  <c r="DE18" i="32" l="1"/>
  <c r="DD18" i="32"/>
  <c r="DF18" i="32"/>
  <c r="DD17" i="32"/>
  <c r="DE17" i="32"/>
  <c r="DF17" i="32"/>
  <c r="CN17" i="32"/>
  <c r="CP17" i="32"/>
  <c r="CO17" i="32"/>
  <c r="CP18" i="32"/>
  <c r="CO18" i="32"/>
  <c r="CN18" i="32"/>
  <c r="BJ18" i="32"/>
  <c r="BI18" i="32"/>
  <c r="BH18" i="32"/>
  <c r="BH17" i="32"/>
  <c r="BI17" i="32"/>
  <c r="BJ17" i="32"/>
  <c r="AT18" i="32"/>
  <c r="AS18" i="32"/>
  <c r="AR18" i="32"/>
  <c r="AS17" i="32"/>
  <c r="AR17" i="32"/>
  <c r="AT17" i="32"/>
  <c r="L17" i="32"/>
  <c r="N17" i="32"/>
  <c r="L18" i="32"/>
  <c r="N18" i="32"/>
  <c r="M18" i="32"/>
  <c r="M17" i="32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4" i="24"/>
  <c r="N33" i="24"/>
  <c r="N32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3" i="1"/>
  <c r="AD63" i="1"/>
  <c r="AC63" i="1"/>
  <c r="Z63" i="1"/>
  <c r="Y63" i="1"/>
  <c r="X63" i="1"/>
  <c r="W63" i="1"/>
  <c r="V63" i="1"/>
  <c r="U63" i="1"/>
  <c r="T63" i="1"/>
  <c r="S63" i="1"/>
  <c r="R63" i="1"/>
  <c r="P63" i="1"/>
  <c r="O63" i="1"/>
  <c r="AE55" i="1"/>
  <c r="AT55" i="1" s="1"/>
  <c r="AD55" i="1"/>
  <c r="AS55" i="1" s="1"/>
  <c r="N27" i="24" l="1"/>
  <c r="N26" i="24"/>
  <c r="N24" i="24"/>
  <c r="N22" i="24"/>
  <c r="N20" i="24"/>
  <c r="N2" i="24" s="1"/>
  <c r="H108" i="30" s="1"/>
  <c r="H34" i="24"/>
  <c r="H33" i="24"/>
  <c r="H32" i="24"/>
  <c r="H27" i="24"/>
  <c r="H26" i="24"/>
  <c r="H24" i="24"/>
  <c r="H23" i="24"/>
  <c r="H6" i="24" s="1"/>
  <c r="B112" i="30" s="1"/>
  <c r="H22" i="24"/>
  <c r="H3" i="24" s="1"/>
  <c r="B109" i="30" s="1"/>
  <c r="H20" i="24"/>
  <c r="H2" i="24" s="1"/>
  <c r="B108" i="30" s="1"/>
  <c r="N4" i="24" l="1"/>
  <c r="H110" i="30" s="1"/>
  <c r="N6" i="24"/>
  <c r="H112" i="30" s="1"/>
  <c r="N5" i="24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7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Z19" i="32"/>
  <c r="CX19" i="32"/>
  <c r="CJ19" i="32"/>
  <c r="CH19" i="32"/>
  <c r="BT19" i="32"/>
  <c r="BR19" i="32"/>
  <c r="BD19" i="32"/>
  <c r="BB19" i="32"/>
  <c r="AN19" i="32"/>
  <c r="AL19" i="32"/>
  <c r="V19" i="32"/>
  <c r="DF19" i="32" l="1"/>
  <c r="DE19" i="32"/>
  <c r="DD19" i="32"/>
  <c r="CP19" i="32"/>
  <c r="CO19" i="32"/>
  <c r="CN19" i="32"/>
  <c r="BJ19" i="32"/>
  <c r="BI19" i="32"/>
  <c r="BH19" i="32"/>
  <c r="AR19" i="32"/>
  <c r="AT19" i="32"/>
  <c r="AS19" i="32"/>
  <c r="G161" i="3"/>
  <c r="F161" i="3"/>
  <c r="E161" i="3"/>
  <c r="D161" i="3"/>
  <c r="F66" i="3"/>
  <c r="K146" i="1"/>
  <c r="K145" i="1"/>
  <c r="K152" i="1" l="1"/>
  <c r="K151" i="1"/>
  <c r="K153" i="1"/>
  <c r="T175" i="30" l="1"/>
  <c r="H19" i="32"/>
  <c r="F19" i="32"/>
  <c r="L19" i="32" l="1"/>
  <c r="N19" i="32"/>
  <c r="M19" i="32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5" i="1"/>
  <c r="AR55" i="1" s="1"/>
  <c r="N63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3" i="36" l="1"/>
  <c r="F112" i="36"/>
  <c r="F111" i="36"/>
  <c r="F110" i="36"/>
  <c r="F109" i="36"/>
  <c r="F108" i="36"/>
  <c r="F107" i="36"/>
  <c r="F101" i="36"/>
  <c r="F99" i="36"/>
  <c r="F98" i="36"/>
  <c r="F97" i="36"/>
  <c r="F96" i="36"/>
  <c r="F95" i="36"/>
  <c r="F94" i="36"/>
  <c r="F91" i="36"/>
  <c r="F90" i="36"/>
  <c r="F89" i="36"/>
  <c r="F83" i="36"/>
  <c r="F82" i="36"/>
  <c r="F81" i="36"/>
  <c r="F79" i="36"/>
  <c r="F78" i="36"/>
  <c r="F77" i="36"/>
  <c r="F75" i="36"/>
  <c r="F74" i="36"/>
  <c r="F70" i="36"/>
  <c r="F69" i="36"/>
  <c r="F68" i="36"/>
  <c r="F66" i="36"/>
  <c r="F64" i="36"/>
  <c r="F63" i="36"/>
  <c r="F62" i="36"/>
  <c r="F61" i="36"/>
  <c r="F60" i="36"/>
  <c r="F59" i="36"/>
  <c r="F58" i="36"/>
  <c r="F57" i="36"/>
  <c r="F56" i="36"/>
  <c r="F55" i="36"/>
  <c r="F71" i="36"/>
  <c r="F53" i="36"/>
  <c r="F51" i="36"/>
  <c r="F50" i="36"/>
  <c r="F49" i="36"/>
  <c r="F48" i="36"/>
  <c r="F45" i="36"/>
  <c r="F39" i="36"/>
  <c r="F54" i="36"/>
  <c r="F43" i="36"/>
  <c r="F41" i="36"/>
  <c r="F40" i="36"/>
  <c r="F38" i="36"/>
  <c r="F37" i="36"/>
  <c r="F36" i="36"/>
  <c r="F35" i="36"/>
  <c r="F34" i="36"/>
  <c r="F33" i="36"/>
  <c r="F106" i="36"/>
  <c r="F105" i="36"/>
  <c r="F104" i="36"/>
  <c r="F102" i="36"/>
  <c r="F100" i="36"/>
  <c r="F93" i="36"/>
  <c r="F92" i="36"/>
  <c r="F88" i="36"/>
  <c r="F87" i="36"/>
  <c r="F86" i="36"/>
  <c r="F85" i="36"/>
  <c r="F114" i="36"/>
  <c r="F80" i="36"/>
  <c r="F76" i="36"/>
  <c r="F73" i="36"/>
  <c r="F67" i="36"/>
  <c r="F65" i="36"/>
  <c r="F84" i="36"/>
  <c r="F52" i="36"/>
  <c r="F47" i="36"/>
  <c r="F42" i="36"/>
  <c r="F32" i="36"/>
  <c r="F31" i="36"/>
  <c r="F30" i="36"/>
  <c r="F29" i="36"/>
  <c r="F28" i="36"/>
  <c r="F27" i="36"/>
  <c r="F25" i="36"/>
  <c r="F24" i="36"/>
  <c r="F23" i="36"/>
  <c r="F22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3" i="36"/>
  <c r="G113" i="36"/>
  <c r="G112" i="36"/>
  <c r="G111" i="36"/>
  <c r="G110" i="36"/>
  <c r="G109" i="36"/>
  <c r="G108" i="36"/>
  <c r="G107" i="36"/>
  <c r="G101" i="36"/>
  <c r="G99" i="36"/>
  <c r="G98" i="36"/>
  <c r="G97" i="36"/>
  <c r="G96" i="36"/>
  <c r="G95" i="36"/>
  <c r="G94" i="36"/>
  <c r="G91" i="36"/>
  <c r="G90" i="36"/>
  <c r="G89" i="36"/>
  <c r="G83" i="36"/>
  <c r="G82" i="36"/>
  <c r="G81" i="36"/>
  <c r="G79" i="36"/>
  <c r="G78" i="36"/>
  <c r="G77" i="36"/>
  <c r="G75" i="36"/>
  <c r="G74" i="36"/>
  <c r="G70" i="36"/>
  <c r="G69" i="36"/>
  <c r="G68" i="36"/>
  <c r="G66" i="36"/>
  <c r="G64" i="36"/>
  <c r="G63" i="36"/>
  <c r="G62" i="36"/>
  <c r="G61" i="36"/>
  <c r="G60" i="36"/>
  <c r="G59" i="36"/>
  <c r="G58" i="36"/>
  <c r="G57" i="36"/>
  <c r="G56" i="36"/>
  <c r="G55" i="36"/>
  <c r="G71" i="36"/>
  <c r="G53" i="36"/>
  <c r="G51" i="36"/>
  <c r="G50" i="36"/>
  <c r="G49" i="36"/>
  <c r="G48" i="36"/>
  <c r="G45" i="36"/>
  <c r="G39" i="36"/>
  <c r="G54" i="36"/>
  <c r="G43" i="36"/>
  <c r="G41" i="36"/>
  <c r="G40" i="36"/>
  <c r="G38" i="36"/>
  <c r="G37" i="36"/>
  <c r="G36" i="36"/>
  <c r="G35" i="36"/>
  <c r="G34" i="36"/>
  <c r="G33" i="36"/>
  <c r="G106" i="36"/>
  <c r="G105" i="36"/>
  <c r="G104" i="36"/>
  <c r="G102" i="36"/>
  <c r="G100" i="36"/>
  <c r="G93" i="36"/>
  <c r="G92" i="36"/>
  <c r="G88" i="36"/>
  <c r="G87" i="36"/>
  <c r="G86" i="36"/>
  <c r="G85" i="36"/>
  <c r="G114" i="36"/>
  <c r="G80" i="36"/>
  <c r="G76" i="36"/>
  <c r="G73" i="36"/>
  <c r="G67" i="36"/>
  <c r="G65" i="36"/>
  <c r="G84" i="36"/>
  <c r="G52" i="36"/>
  <c r="G47" i="36"/>
  <c r="G42" i="36"/>
  <c r="G32" i="36"/>
  <c r="G31" i="36"/>
  <c r="G30" i="36"/>
  <c r="G29" i="36"/>
  <c r="G28" i="36"/>
  <c r="G27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H14" i="10"/>
  <c r="G31" i="24" l="1"/>
  <c r="G28" i="24"/>
  <c r="G10" i="24" s="1"/>
  <c r="G27" i="24"/>
  <c r="G26" i="24"/>
  <c r="G24" i="24"/>
  <c r="G23" i="24"/>
  <c r="G22" i="24"/>
  <c r="G20" i="24"/>
  <c r="G2" i="24" s="1"/>
  <c r="I108" i="30" s="1"/>
  <c r="C126" i="30" s="1"/>
  <c r="O126" i="30" s="1"/>
  <c r="G4" i="24" l="1"/>
  <c r="G6" i="24"/>
  <c r="G7" i="24"/>
  <c r="G5" i="24"/>
  <c r="G9" i="24"/>
  <c r="C117" i="30"/>
  <c r="B135" i="30" s="1"/>
  <c r="F135" i="30" s="1"/>
  <c r="G3" i="24"/>
  <c r="C108" i="30"/>
  <c r="B126" i="30" s="1"/>
  <c r="F126" i="30" s="1"/>
  <c r="U28" i="23"/>
  <c r="O28" i="23"/>
  <c r="U27" i="23"/>
  <c r="U26" i="23"/>
  <c r="U4" i="23"/>
  <c r="K4" i="23"/>
  <c r="I4" i="23" s="1"/>
  <c r="J4" i="23"/>
  <c r="U3" i="23"/>
  <c r="K3" i="23"/>
  <c r="J3" i="23"/>
  <c r="G28" i="23" l="1"/>
  <c r="H28" i="23" s="1"/>
  <c r="P28" i="23"/>
  <c r="C111" i="30"/>
  <c r="B129" i="30" s="1"/>
  <c r="F129" i="30" s="1"/>
  <c r="I111" i="30"/>
  <c r="C129" i="30" s="1"/>
  <c r="O129" i="30" s="1"/>
  <c r="C112" i="30"/>
  <c r="B130" i="30" s="1"/>
  <c r="F130" i="30" s="1"/>
  <c r="I112" i="30"/>
  <c r="C130" i="30" s="1"/>
  <c r="O130" i="30" s="1"/>
  <c r="C114" i="30"/>
  <c r="B132" i="30" s="1"/>
  <c r="F132" i="30" s="1"/>
  <c r="I114" i="30"/>
  <c r="C132" i="30" s="1"/>
  <c r="O132" i="30" s="1"/>
  <c r="C115" i="30"/>
  <c r="B133" i="30" s="1"/>
  <c r="F133" i="30" s="1"/>
  <c r="I115" i="30"/>
  <c r="C133" i="30" s="1"/>
  <c r="O133" i="30" s="1"/>
  <c r="C110" i="30"/>
  <c r="B128" i="30" s="1"/>
  <c r="F128" i="30" s="1"/>
  <c r="I110" i="30"/>
  <c r="C128" i="30" s="1"/>
  <c r="O128" i="30" s="1"/>
  <c r="C116" i="30"/>
  <c r="B134" i="30" s="1"/>
  <c r="F134" i="30" s="1"/>
  <c r="I116" i="30"/>
  <c r="C134" i="30" s="1"/>
  <c r="O134" i="30" s="1"/>
  <c r="C109" i="30"/>
  <c r="B127" i="30" s="1"/>
  <c r="F127" i="30" s="1"/>
  <c r="I109" i="30"/>
  <c r="C127" i="30" s="1"/>
  <c r="O127" i="30" s="1"/>
  <c r="C113" i="30"/>
  <c r="B131" i="30" s="1"/>
  <c r="F131" i="30" s="1"/>
  <c r="I113" i="30"/>
  <c r="C131" i="30" s="1"/>
  <c r="O131" i="30" s="1"/>
  <c r="I3" i="23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0" i="1"/>
  <c r="C71" i="1"/>
  <c r="C72" i="1"/>
  <c r="C73" i="1"/>
  <c r="C74" i="1"/>
  <c r="C75" i="1"/>
  <c r="D63" i="1"/>
  <c r="E63" i="1"/>
  <c r="F63" i="1"/>
  <c r="G63" i="1"/>
  <c r="H63" i="1"/>
  <c r="I63" i="1"/>
  <c r="J63" i="1"/>
  <c r="K63" i="1"/>
  <c r="C63" i="1"/>
  <c r="H42" i="23" l="1"/>
  <c r="H43" i="23"/>
  <c r="J11" i="17"/>
  <c r="J10" i="17" l="1"/>
  <c r="J13" i="17"/>
  <c r="J9" i="17"/>
  <c r="J12" i="17"/>
  <c r="J14" i="17"/>
  <c r="J15" i="17"/>
  <c r="D103" i="1" l="1"/>
  <c r="D106" i="1"/>
  <c r="C122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D49" i="1" l="1"/>
  <c r="E49" i="1"/>
  <c r="B6" i="18" l="1"/>
  <c r="B5" i="18"/>
  <c r="CZ14" i="32" l="1"/>
  <c r="CX14" i="32"/>
  <c r="CZ13" i="32"/>
  <c r="CX13" i="32"/>
  <c r="CZ12" i="32"/>
  <c r="CX12" i="32"/>
  <c r="CZ11" i="32"/>
  <c r="CX11" i="32"/>
  <c r="CZ10" i="32"/>
  <c r="CX10" i="32"/>
  <c r="CZ9" i="32"/>
  <c r="CX9" i="32"/>
  <c r="CZ8" i="32"/>
  <c r="CX8" i="32"/>
  <c r="CZ7" i="32"/>
  <c r="CX7" i="32"/>
  <c r="CZ6" i="32"/>
  <c r="CX6" i="32"/>
  <c r="CJ14" i="32"/>
  <c r="CH14" i="32"/>
  <c r="CJ13" i="32"/>
  <c r="CH13" i="32"/>
  <c r="CJ12" i="32"/>
  <c r="CH12" i="32"/>
  <c r="CJ11" i="32"/>
  <c r="CH11" i="32"/>
  <c r="CJ10" i="32"/>
  <c r="CH10" i="32"/>
  <c r="CJ9" i="32"/>
  <c r="CH9" i="32"/>
  <c r="CJ8" i="32"/>
  <c r="CH8" i="32"/>
  <c r="CJ7" i="32"/>
  <c r="CH7" i="32"/>
  <c r="CJ6" i="32"/>
  <c r="CH6" i="32"/>
  <c r="BT14" i="32"/>
  <c r="BR14" i="32"/>
  <c r="BT13" i="32"/>
  <c r="BR13" i="32"/>
  <c r="BT12" i="32"/>
  <c r="BR12" i="32"/>
  <c r="BT11" i="32"/>
  <c r="BR11" i="32"/>
  <c r="BT10" i="32"/>
  <c r="BR10" i="32"/>
  <c r="BT9" i="32"/>
  <c r="BR9" i="32"/>
  <c r="BT8" i="32"/>
  <c r="BR8" i="32"/>
  <c r="BT7" i="32"/>
  <c r="BR7" i="32"/>
  <c r="BT6" i="32"/>
  <c r="BR6" i="32"/>
  <c r="BD14" i="32"/>
  <c r="BB14" i="32"/>
  <c r="BD13" i="32"/>
  <c r="BB13" i="32"/>
  <c r="BD12" i="32"/>
  <c r="BB12" i="32"/>
  <c r="BD11" i="32"/>
  <c r="BB11" i="32"/>
  <c r="BD10" i="32"/>
  <c r="BB10" i="32"/>
  <c r="BD9" i="32"/>
  <c r="BB9" i="32"/>
  <c r="BD8" i="32"/>
  <c r="BB8" i="32"/>
  <c r="BD7" i="32"/>
  <c r="BB7" i="32"/>
  <c r="BD6" i="32"/>
  <c r="V14" i="32"/>
  <c r="V13" i="32"/>
  <c r="V12" i="32"/>
  <c r="V11" i="32"/>
  <c r="V10" i="32"/>
  <c r="V9" i="32"/>
  <c r="V8" i="32"/>
  <c r="V7" i="32"/>
  <c r="BB6" i="32"/>
  <c r="H14" i="32"/>
  <c r="F14" i="32"/>
  <c r="H13" i="32"/>
  <c r="F13" i="32"/>
  <c r="H12" i="32"/>
  <c r="F12" i="32"/>
  <c r="H11" i="32"/>
  <c r="F11" i="32"/>
  <c r="H10" i="32"/>
  <c r="F10" i="32"/>
  <c r="H9" i="32"/>
  <c r="F9" i="32"/>
  <c r="H8" i="32"/>
  <c r="F8" i="32"/>
  <c r="H7" i="32"/>
  <c r="F7" i="32"/>
  <c r="H6" i="32"/>
  <c r="F6" i="32"/>
  <c r="AN14" i="32"/>
  <c r="AL14" i="32"/>
  <c r="AN13" i="32"/>
  <c r="AL13" i="32"/>
  <c r="AN12" i="32"/>
  <c r="AL12" i="32"/>
  <c r="AN11" i="32"/>
  <c r="AL11" i="32"/>
  <c r="AN10" i="32"/>
  <c r="AL10" i="32"/>
  <c r="AN9" i="32"/>
  <c r="AL9" i="32"/>
  <c r="AN8" i="32"/>
  <c r="AL8" i="32"/>
  <c r="AN7" i="32"/>
  <c r="AL7" i="32"/>
  <c r="AN6" i="32"/>
  <c r="DF7" i="32" l="1"/>
  <c r="DE7" i="32"/>
  <c r="DD7" i="32"/>
  <c r="DD9" i="32"/>
  <c r="DE9" i="32"/>
  <c r="DF9" i="32"/>
  <c r="DF11" i="32"/>
  <c r="DE11" i="32"/>
  <c r="DD11" i="32"/>
  <c r="DD13" i="32"/>
  <c r="DE13" i="32"/>
  <c r="DF13" i="32"/>
  <c r="DE6" i="32"/>
  <c r="DF6" i="32"/>
  <c r="DD6" i="32"/>
  <c r="DF8" i="32"/>
  <c r="DE8" i="32"/>
  <c r="DD8" i="32"/>
  <c r="DE10" i="32"/>
  <c r="DD10" i="32"/>
  <c r="DF10" i="32"/>
  <c r="DF12" i="32"/>
  <c r="DE12" i="32"/>
  <c r="DD12" i="32"/>
  <c r="DE14" i="32"/>
  <c r="DD14" i="32"/>
  <c r="DF14" i="32"/>
  <c r="CP12" i="32"/>
  <c r="CO12" i="32"/>
  <c r="CN12" i="32"/>
  <c r="CO8" i="32"/>
  <c r="CN8" i="32"/>
  <c r="CP8" i="32"/>
  <c r="CN9" i="32"/>
  <c r="CP9" i="32"/>
  <c r="CO9" i="32"/>
  <c r="CP13" i="32"/>
  <c r="CO13" i="32"/>
  <c r="CN13" i="32"/>
  <c r="CO6" i="32"/>
  <c r="CP6" i="32"/>
  <c r="CN6" i="32"/>
  <c r="CP10" i="32"/>
  <c r="CN10" i="32"/>
  <c r="CO10" i="32"/>
  <c r="CO14" i="32"/>
  <c r="CN14" i="32"/>
  <c r="CP14" i="32"/>
  <c r="CO7" i="32"/>
  <c r="CP7" i="32"/>
  <c r="CN7" i="32"/>
  <c r="CP11" i="32"/>
  <c r="CO11" i="32"/>
  <c r="CN11" i="32"/>
  <c r="BJ6" i="32"/>
  <c r="BI6" i="32"/>
  <c r="BH6" i="32"/>
  <c r="BJ10" i="32"/>
  <c r="BI10" i="32"/>
  <c r="BH10" i="32"/>
  <c r="BH14" i="32"/>
  <c r="BI14" i="32"/>
  <c r="BJ14" i="32"/>
  <c r="BJ13" i="32"/>
  <c r="BI13" i="32"/>
  <c r="BH13" i="32"/>
  <c r="BJ7" i="32"/>
  <c r="BI7" i="32"/>
  <c r="BH7" i="32"/>
  <c r="BH11" i="32"/>
  <c r="BJ11" i="32"/>
  <c r="BI11" i="32"/>
  <c r="BJ9" i="32"/>
  <c r="BI9" i="32"/>
  <c r="BH9" i="32"/>
  <c r="BH8" i="32"/>
  <c r="BJ8" i="32"/>
  <c r="BI8" i="32"/>
  <c r="BJ12" i="32"/>
  <c r="BI12" i="32"/>
  <c r="BH12" i="32"/>
  <c r="AT8" i="32"/>
  <c r="AR8" i="32"/>
  <c r="AS8" i="32"/>
  <c r="AT12" i="32"/>
  <c r="AS12" i="32"/>
  <c r="AR12" i="32"/>
  <c r="AR9" i="32"/>
  <c r="AT9" i="32"/>
  <c r="AS9" i="32"/>
  <c r="AT6" i="32"/>
  <c r="AS6" i="32"/>
  <c r="AR6" i="32"/>
  <c r="AT10" i="32"/>
  <c r="AS10" i="32"/>
  <c r="AR10" i="32"/>
  <c r="AR14" i="32"/>
  <c r="AT14" i="32"/>
  <c r="AS14" i="32"/>
  <c r="AT13" i="32"/>
  <c r="AS13" i="32"/>
  <c r="AR13" i="32"/>
  <c r="AT7" i="32"/>
  <c r="AS7" i="32"/>
  <c r="AR7" i="32"/>
  <c r="AR11" i="32"/>
  <c r="AT11" i="32"/>
  <c r="AS11" i="32"/>
  <c r="N9" i="32"/>
  <c r="N6" i="32"/>
  <c r="N10" i="32"/>
  <c r="N7" i="32"/>
  <c r="N11" i="32"/>
  <c r="N14" i="32"/>
  <c r="N13" i="32"/>
  <c r="N8" i="32"/>
  <c r="N12" i="32"/>
  <c r="M6" i="32"/>
  <c r="L6" i="32"/>
  <c r="M8" i="32"/>
  <c r="L8" i="32"/>
  <c r="M10" i="32"/>
  <c r="L10" i="32"/>
  <c r="M12" i="32"/>
  <c r="L12" i="32"/>
  <c r="M14" i="32"/>
  <c r="L14" i="32"/>
  <c r="M7" i="32"/>
  <c r="L7" i="32"/>
  <c r="M9" i="32"/>
  <c r="L9" i="32"/>
  <c r="M11" i="32"/>
  <c r="L11" i="32"/>
  <c r="M13" i="32"/>
  <c r="L13" i="32"/>
  <c r="V6" i="32"/>
  <c r="DD21" i="32" l="1"/>
  <c r="DF21" i="32"/>
  <c r="DE21" i="32"/>
  <c r="CN21" i="32"/>
  <c r="CO21" i="32"/>
  <c r="CP21" i="32"/>
  <c r="BH21" i="32"/>
  <c r="BI21" i="32"/>
  <c r="BJ21" i="32"/>
  <c r="AR21" i="32"/>
  <c r="AS21" i="32"/>
  <c r="AT21" i="32"/>
  <c r="N21" i="32"/>
  <c r="L21" i="32"/>
  <c r="M21" i="32"/>
  <c r="Q15" i="17"/>
  <c r="Q14" i="17"/>
  <c r="Q13" i="17"/>
  <c r="Q12" i="17"/>
  <c r="Q11" i="17"/>
  <c r="Q9" i="17"/>
  <c r="Q10" i="17"/>
  <c r="E72" i="41" l="1"/>
  <c r="E18" i="10"/>
  <c r="E17" i="10"/>
  <c r="C212" i="1" l="1"/>
  <c r="C213" i="1"/>
  <c r="B212" i="1" l="1"/>
  <c r="C1" i="19"/>
  <c r="D1" i="19"/>
  <c r="A28" i="34" l="1"/>
  <c r="A29" i="34"/>
  <c r="B213" i="1"/>
  <c r="A25" i="34"/>
  <c r="A32" i="34"/>
  <c r="A31" i="34"/>
  <c r="A27" i="34"/>
  <c r="A30" i="34"/>
  <c r="A26" i="34"/>
  <c r="B17" i="3"/>
  <c r="D17" i="3" s="1"/>
  <c r="H17" i="27"/>
  <c r="B29" i="27" s="1"/>
  <c r="K55" i="1"/>
  <c r="Z55" i="1" s="1"/>
  <c r="AO55" i="1" s="1"/>
  <c r="B63" i="30"/>
  <c r="J55" i="1"/>
  <c r="Y55" i="1" s="1"/>
  <c r="AN55" i="1" s="1"/>
  <c r="B56" i="30"/>
  <c r="B42" i="30"/>
  <c r="I55" i="1"/>
  <c r="X55" i="1" s="1"/>
  <c r="AM55" i="1" s="1"/>
  <c r="A3" i="27"/>
  <c r="E17" i="3" l="1"/>
  <c r="G17" i="27"/>
  <c r="B10" i="20"/>
  <c r="G6" i="30"/>
  <c r="G57" i="30" l="1"/>
  <c r="G22" i="30"/>
  <c r="G102" i="30"/>
  <c r="G95" i="30"/>
  <c r="G88" i="30"/>
  <c r="G81" i="30"/>
  <c r="G74" i="30"/>
  <c r="G67" i="30"/>
  <c r="G60" i="30"/>
  <c r="G53" i="30"/>
  <c r="G46" i="30"/>
  <c r="G39" i="30"/>
  <c r="G32" i="30"/>
  <c r="G25" i="30"/>
  <c r="G18" i="30"/>
  <c r="G11" i="30"/>
  <c r="G72" i="30"/>
  <c r="G65" i="30"/>
  <c r="G51" i="30"/>
  <c r="G37" i="30"/>
  <c r="G23" i="30"/>
  <c r="G9" i="30"/>
  <c r="G92" i="30"/>
  <c r="G78" i="30"/>
  <c r="G64" i="30"/>
  <c r="G43" i="30"/>
  <c r="G29" i="30"/>
  <c r="G8" i="30"/>
  <c r="G101" i="30"/>
  <c r="G94" i="30"/>
  <c r="G87" i="30"/>
  <c r="G80" i="30"/>
  <c r="G73" i="30"/>
  <c r="G66" i="30"/>
  <c r="G59" i="30"/>
  <c r="G52" i="30"/>
  <c r="G45" i="30"/>
  <c r="G38" i="30"/>
  <c r="G31" i="30"/>
  <c r="G24" i="30"/>
  <c r="G17" i="30"/>
  <c r="G10" i="30"/>
  <c r="G100" i="30"/>
  <c r="G93" i="30"/>
  <c r="G86" i="30"/>
  <c r="G79" i="30"/>
  <c r="G58" i="30"/>
  <c r="G44" i="30"/>
  <c r="G30" i="30"/>
  <c r="G16" i="30"/>
  <c r="G99" i="30"/>
  <c r="G85" i="30"/>
  <c r="G71" i="30"/>
  <c r="G50" i="30"/>
  <c r="G36" i="30"/>
  <c r="G15" i="30"/>
  <c r="B15" i="20"/>
  <c r="I17" i="27"/>
  <c r="B28" i="27" s="1"/>
  <c r="J17" i="27"/>
  <c r="P6" i="30"/>
  <c r="Y6" i="30" l="1"/>
  <c r="P11" i="30"/>
  <c r="P18" i="30" s="1"/>
  <c r="P25" i="30" s="1"/>
  <c r="P32" i="30" s="1"/>
  <c r="P39" i="30" s="1"/>
  <c r="P46" i="30" s="1"/>
  <c r="P53" i="30" s="1"/>
  <c r="P60" i="30" s="1"/>
  <c r="P67" i="30" s="1"/>
  <c r="P8" i="30"/>
  <c r="P15" i="30" s="1"/>
  <c r="P22" i="30" s="1"/>
  <c r="P29" i="30" s="1"/>
  <c r="P36" i="30" s="1"/>
  <c r="P43" i="30" s="1"/>
  <c r="P50" i="30" s="1"/>
  <c r="P57" i="30" s="1"/>
  <c r="P64" i="30" s="1"/>
  <c r="P10" i="30"/>
  <c r="P17" i="30" s="1"/>
  <c r="P24" i="30" s="1"/>
  <c r="P31" i="30" s="1"/>
  <c r="P38" i="30" s="1"/>
  <c r="P45" i="30" s="1"/>
  <c r="P52" i="30" s="1"/>
  <c r="P59" i="30" s="1"/>
  <c r="P66" i="30" s="1"/>
  <c r="P9" i="30"/>
  <c r="P16" i="30" s="1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Y11" i="30" l="1"/>
  <c r="Y18" i="30" s="1"/>
  <c r="Y10" i="30"/>
  <c r="Y17" i="30" s="1"/>
  <c r="Y24" i="30" s="1"/>
  <c r="Y31" i="30" s="1"/>
  <c r="Y38" i="30" s="1"/>
  <c r="Y45" i="30" s="1"/>
  <c r="Y52" i="30" s="1"/>
  <c r="Y59" i="30" s="1"/>
  <c r="Y66" i="30" s="1"/>
  <c r="Y73" i="30" s="1"/>
  <c r="Y80" i="30" s="1"/>
  <c r="Y9" i="30"/>
  <c r="Y16" i="30" s="1"/>
  <c r="Y23" i="30" s="1"/>
  <c r="Y30" i="30" s="1"/>
  <c r="Y37" i="30" s="1"/>
  <c r="Y44" i="30" s="1"/>
  <c r="Y51" i="30" s="1"/>
  <c r="Y58" i="30" s="1"/>
  <c r="Y65" i="30" s="1"/>
  <c r="Y72" i="30" s="1"/>
  <c r="Y79" i="30" s="1"/>
  <c r="Y8" i="30"/>
  <c r="Y15" i="30" s="1"/>
  <c r="Y22" i="30" s="1"/>
  <c r="Y29" i="30" s="1"/>
  <c r="Y36" i="30" s="1"/>
  <c r="Y43" i="30" s="1"/>
  <c r="Y50" i="30" s="1"/>
  <c r="Y57" i="30" s="1"/>
  <c r="Y64" i="30" s="1"/>
  <c r="Y71" i="30" s="1"/>
  <c r="Y78" i="30" s="1"/>
  <c r="H92" i="30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AC6" i="30" s="1"/>
  <c r="Q6" i="30"/>
  <c r="Z6" i="30" s="1"/>
  <c r="S6" i="30"/>
  <c r="AB6" i="30" s="1"/>
  <c r="R6" i="30"/>
  <c r="AA6" i="30" s="1"/>
  <c r="C69" i="1"/>
  <c r="E6" i="30"/>
  <c r="F6" i="30"/>
  <c r="A7" i="37"/>
  <c r="A6" i="37"/>
  <c r="Y85" i="30" l="1"/>
  <c r="Y92" i="30" s="1"/>
  <c r="Y99" i="30" s="1"/>
  <c r="Y86" i="30"/>
  <c r="Y93" i="30" s="1"/>
  <c r="Y100" i="30" s="1"/>
  <c r="Y87" i="30"/>
  <c r="Y94" i="30" s="1"/>
  <c r="Y101" i="30" s="1"/>
  <c r="Y25" i="30"/>
  <c r="AA11" i="30"/>
  <c r="AA10" i="30"/>
  <c r="AA17" i="30" s="1"/>
  <c r="AA24" i="30" s="1"/>
  <c r="AA31" i="30" s="1"/>
  <c r="AA38" i="30" s="1"/>
  <c r="AA45" i="30" s="1"/>
  <c r="AA52" i="30" s="1"/>
  <c r="AA59" i="30" s="1"/>
  <c r="AA66" i="30" s="1"/>
  <c r="AA8" i="30"/>
  <c r="AA15" i="30" s="1"/>
  <c r="AA22" i="30" s="1"/>
  <c r="AA29" i="30" s="1"/>
  <c r="AA36" i="30" s="1"/>
  <c r="AA43" i="30" s="1"/>
  <c r="AA50" i="30" s="1"/>
  <c r="AA57" i="30" s="1"/>
  <c r="AA64" i="30" s="1"/>
  <c r="AA9" i="30"/>
  <c r="AA16" i="30" s="1"/>
  <c r="AA23" i="30" s="1"/>
  <c r="AA30" i="30" s="1"/>
  <c r="AA37" i="30" s="1"/>
  <c r="AA44" i="30" s="1"/>
  <c r="AA51" i="30" s="1"/>
  <c r="AA58" i="30" s="1"/>
  <c r="AA65" i="30" s="1"/>
  <c r="AB8" i="30"/>
  <c r="AB15" i="30" s="1"/>
  <c r="AB22" i="30" s="1"/>
  <c r="AB29" i="30" s="1"/>
  <c r="AB36" i="30" s="1"/>
  <c r="AB43" i="30" s="1"/>
  <c r="AB50" i="30" s="1"/>
  <c r="AB57" i="30" s="1"/>
  <c r="AB64" i="30" s="1"/>
  <c r="AB11" i="30"/>
  <c r="AB10" i="30"/>
  <c r="AB17" i="30" s="1"/>
  <c r="AB24" i="30" s="1"/>
  <c r="AB31" i="30" s="1"/>
  <c r="AB38" i="30" s="1"/>
  <c r="AB45" i="30" s="1"/>
  <c r="AB52" i="30" s="1"/>
  <c r="AB59" i="30" s="1"/>
  <c r="AB66" i="30" s="1"/>
  <c r="AB9" i="30"/>
  <c r="AB16" i="30" s="1"/>
  <c r="AB23" i="30" s="1"/>
  <c r="AB30" i="30" s="1"/>
  <c r="AB37" i="30" s="1"/>
  <c r="AB44" i="30" s="1"/>
  <c r="AB51" i="30" s="1"/>
  <c r="AB58" i="30" s="1"/>
  <c r="AB65" i="30" s="1"/>
  <c r="Z9" i="30"/>
  <c r="Z16" i="30" s="1"/>
  <c r="Z23" i="30" s="1"/>
  <c r="Z30" i="30" s="1"/>
  <c r="Z37" i="30" s="1"/>
  <c r="Z44" i="30" s="1"/>
  <c r="Z51" i="30" s="1"/>
  <c r="Z58" i="30" s="1"/>
  <c r="Z65" i="30" s="1"/>
  <c r="Z11" i="30"/>
  <c r="Z10" i="30"/>
  <c r="Z17" i="30" s="1"/>
  <c r="Z24" i="30" s="1"/>
  <c r="Z31" i="30" s="1"/>
  <c r="Z38" i="30" s="1"/>
  <c r="Z45" i="30" s="1"/>
  <c r="Z52" i="30" s="1"/>
  <c r="Z59" i="30" s="1"/>
  <c r="Z66" i="30" s="1"/>
  <c r="Z8" i="30"/>
  <c r="Z15" i="30" s="1"/>
  <c r="Z22" i="30" s="1"/>
  <c r="Z29" i="30" s="1"/>
  <c r="Z36" i="30" s="1"/>
  <c r="Z43" i="30" s="1"/>
  <c r="Z50" i="30" s="1"/>
  <c r="Z57" i="30" s="1"/>
  <c r="Z64" i="30" s="1"/>
  <c r="AC11" i="30"/>
  <c r="AC8" i="30"/>
  <c r="AC15" i="30" s="1"/>
  <c r="AC22" i="30" s="1"/>
  <c r="AC29" i="30" s="1"/>
  <c r="AC36" i="30" s="1"/>
  <c r="AC43" i="30" s="1"/>
  <c r="AC50" i="30" s="1"/>
  <c r="AC57" i="30" s="1"/>
  <c r="AC64" i="30" s="1"/>
  <c r="AC9" i="30"/>
  <c r="AC16" i="30" s="1"/>
  <c r="AC23" i="30" s="1"/>
  <c r="AC30" i="30" s="1"/>
  <c r="AC37" i="30" s="1"/>
  <c r="AC44" i="30" s="1"/>
  <c r="AC51" i="30" s="1"/>
  <c r="AC58" i="30" s="1"/>
  <c r="AC65" i="30" s="1"/>
  <c r="AC10" i="30"/>
  <c r="AC17" i="30" s="1"/>
  <c r="AC24" i="30" s="1"/>
  <c r="AC31" i="30" s="1"/>
  <c r="AC38" i="30" s="1"/>
  <c r="AC45" i="30" s="1"/>
  <c r="AC52" i="30" s="1"/>
  <c r="AC59" i="30" s="1"/>
  <c r="AC66" i="30" s="1"/>
  <c r="F101" i="30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69" i="1"/>
  <c r="B14" i="20"/>
  <c r="D9" i="41" s="1"/>
  <c r="C188" i="1" s="1"/>
  <c r="O6" i="30"/>
  <c r="X6" i="30" s="1"/>
  <c r="N6" i="30"/>
  <c r="W6" i="30" s="1"/>
  <c r="A11" i="37"/>
  <c r="C52" i="41" s="1"/>
  <c r="C63" i="41" s="1"/>
  <c r="C73" i="41" s="1"/>
  <c r="D70" i="1"/>
  <c r="C84" i="1"/>
  <c r="A10" i="37"/>
  <c r="C51" i="41" s="1"/>
  <c r="C62" i="41" s="1"/>
  <c r="C72" i="41" s="1"/>
  <c r="B122" i="1"/>
  <c r="E122" i="1" l="1"/>
  <c r="D122" i="1"/>
  <c r="AB18" i="30"/>
  <c r="AC18" i="30"/>
  <c r="AB71" i="30"/>
  <c r="AB78" i="30" s="1"/>
  <c r="AB85" i="30"/>
  <c r="AB92" i="30" s="1"/>
  <c r="AB99" i="30" s="1"/>
  <c r="X8" i="30"/>
  <c r="X15" i="30" s="1"/>
  <c r="X22" i="30" s="1"/>
  <c r="X29" i="30" s="1"/>
  <c r="X36" i="30" s="1"/>
  <c r="X43" i="30" s="1"/>
  <c r="X50" i="30" s="1"/>
  <c r="X57" i="30" s="1"/>
  <c r="X64" i="30" s="1"/>
  <c r="X11" i="30"/>
  <c r="X10" i="30"/>
  <c r="X17" i="30" s="1"/>
  <c r="X24" i="30" s="1"/>
  <c r="X31" i="30" s="1"/>
  <c r="X38" i="30" s="1"/>
  <c r="X45" i="30" s="1"/>
  <c r="X52" i="30" s="1"/>
  <c r="X59" i="30" s="1"/>
  <c r="X66" i="30" s="1"/>
  <c r="X9" i="30"/>
  <c r="X16" i="30" s="1"/>
  <c r="X23" i="30" s="1"/>
  <c r="X30" i="30" s="1"/>
  <c r="X37" i="30" s="1"/>
  <c r="X44" i="30" s="1"/>
  <c r="X51" i="30" s="1"/>
  <c r="X58" i="30" s="1"/>
  <c r="X65" i="30" s="1"/>
  <c r="Z85" i="30"/>
  <c r="Z92" i="30" s="1"/>
  <c r="Z99" i="30" s="1"/>
  <c r="Z71" i="30"/>
  <c r="Z78" i="30" s="1"/>
  <c r="AA86" i="30"/>
  <c r="AA93" i="30" s="1"/>
  <c r="AA100" i="30" s="1"/>
  <c r="AA72" i="30"/>
  <c r="AA79" i="30" s="1"/>
  <c r="Z73" i="30"/>
  <c r="Z80" i="30" s="1"/>
  <c r="Z87" i="30"/>
  <c r="Z94" i="30" s="1"/>
  <c r="Z101" i="30" s="1"/>
  <c r="AA71" i="30"/>
  <c r="AA78" i="30" s="1"/>
  <c r="AA85" i="30"/>
  <c r="AA92" i="30" s="1"/>
  <c r="AA99" i="30" s="1"/>
  <c r="Z18" i="30"/>
  <c r="AA73" i="30"/>
  <c r="AA80" i="30" s="1"/>
  <c r="AA87" i="30"/>
  <c r="AA94" i="30" s="1"/>
  <c r="AA101" i="30" s="1"/>
  <c r="AC85" i="30"/>
  <c r="AC92" i="30" s="1"/>
  <c r="AC99" i="30" s="1"/>
  <c r="AC71" i="30"/>
  <c r="AC78" i="30" s="1"/>
  <c r="W11" i="30"/>
  <c r="W10" i="30"/>
  <c r="W8" i="30"/>
  <c r="W9" i="30"/>
  <c r="Z72" i="30"/>
  <c r="Z79" i="30" s="1"/>
  <c r="Z86" i="30"/>
  <c r="Z93" i="30" s="1"/>
  <c r="Z100" i="30" s="1"/>
  <c r="AA18" i="30"/>
  <c r="AC87" i="30"/>
  <c r="AC94" i="30" s="1"/>
  <c r="AC101" i="30" s="1"/>
  <c r="AC73" i="30"/>
  <c r="AC80" i="30" s="1"/>
  <c r="AB86" i="30"/>
  <c r="AB93" i="30" s="1"/>
  <c r="AB100" i="30" s="1"/>
  <c r="AB72" i="30"/>
  <c r="AB79" i="30" s="1"/>
  <c r="AC72" i="30"/>
  <c r="AC79" i="30" s="1"/>
  <c r="AC86" i="30"/>
  <c r="AC93" i="30" s="1"/>
  <c r="AC100" i="30" s="1"/>
  <c r="AB73" i="30"/>
  <c r="AB80" i="30" s="1"/>
  <c r="AB87" i="30"/>
  <c r="AB94" i="30" s="1"/>
  <c r="AB101" i="30" s="1"/>
  <c r="Y32" i="30"/>
  <c r="H75" i="30"/>
  <c r="L79" i="30"/>
  <c r="L80" i="30"/>
  <c r="L73" i="30"/>
  <c r="J75" i="30"/>
  <c r="I82" i="30"/>
  <c r="N9" i="17"/>
  <c r="B6" i="39"/>
  <c r="O9" i="17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6" i="30" s="1"/>
  <c r="N23" i="30" s="1"/>
  <c r="N30" i="30" s="1"/>
  <c r="N37" i="30" s="1"/>
  <c r="N44" i="30" s="1"/>
  <c r="N51" i="30" s="1"/>
  <c r="N58" i="30" s="1"/>
  <c r="N65" i="30" s="1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C6" i="39"/>
  <c r="W16" i="32"/>
  <c r="W12" i="32"/>
  <c r="W8" i="32"/>
  <c r="W19" i="32"/>
  <c r="W15" i="32"/>
  <c r="W11" i="32"/>
  <c r="W7" i="32"/>
  <c r="W18" i="32"/>
  <c r="W14" i="32"/>
  <c r="W10" i="32"/>
  <c r="W6" i="32"/>
  <c r="W17" i="32"/>
  <c r="W13" i="32"/>
  <c r="W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B140" i="1"/>
  <c r="L87" i="30"/>
  <c r="L86" i="30"/>
  <c r="J89" i="30"/>
  <c r="L88" i="30"/>
  <c r="E89" i="30"/>
  <c r="G89" i="30"/>
  <c r="I89" i="30"/>
  <c r="L85" i="30"/>
  <c r="F89" i="30"/>
  <c r="K89" i="30"/>
  <c r="H89" i="30"/>
  <c r="AB12" i="30" l="1"/>
  <c r="E140" i="1"/>
  <c r="F140" i="1"/>
  <c r="G140" i="1"/>
  <c r="D140" i="1"/>
  <c r="AA12" i="30"/>
  <c r="X18" i="30"/>
  <c r="X12" i="30"/>
  <c r="AA25" i="30"/>
  <c r="X71" i="30"/>
  <c r="X78" i="30" s="1"/>
  <c r="X85" i="30"/>
  <c r="X92" i="30" s="1"/>
  <c r="X99" i="30" s="1"/>
  <c r="W16" i="30"/>
  <c r="AD9" i="30"/>
  <c r="Z25" i="30"/>
  <c r="AC12" i="30"/>
  <c r="W15" i="30"/>
  <c r="AD8" i="30"/>
  <c r="R126" i="30" s="1"/>
  <c r="Z12" i="30"/>
  <c r="AC25" i="30"/>
  <c r="W17" i="30"/>
  <c r="AD10" i="30"/>
  <c r="I126" i="30" s="1"/>
  <c r="X86" i="30"/>
  <c r="X93" i="30" s="1"/>
  <c r="X100" i="30" s="1"/>
  <c r="X72" i="30"/>
  <c r="X79" i="30" s="1"/>
  <c r="Y39" i="30"/>
  <c r="W12" i="30"/>
  <c r="W18" i="30"/>
  <c r="AB19" i="30" s="1"/>
  <c r="AD11" i="30"/>
  <c r="Y12" i="30"/>
  <c r="X87" i="30"/>
  <c r="X94" i="30" s="1"/>
  <c r="X101" i="30" s="1"/>
  <c r="X73" i="30"/>
  <c r="X80" i="30" s="1"/>
  <c r="AB25" i="30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U126" i="30" l="1"/>
  <c r="G143" i="30" s="1"/>
  <c r="AC19" i="30"/>
  <c r="L126" i="30"/>
  <c r="D143" i="30" s="1"/>
  <c r="W19" i="30"/>
  <c r="W25" i="30"/>
  <c r="AD18" i="30"/>
  <c r="Y19" i="30"/>
  <c r="AB32" i="30"/>
  <c r="Y46" i="30"/>
  <c r="AD16" i="30"/>
  <c r="W23" i="30"/>
  <c r="W22" i="30"/>
  <c r="AD15" i="30"/>
  <c r="R127" i="30" s="1"/>
  <c r="U127" i="30" s="1"/>
  <c r="G144" i="30" s="1"/>
  <c r="AA19" i="30"/>
  <c r="AC32" i="30"/>
  <c r="AA32" i="30"/>
  <c r="Z32" i="30"/>
  <c r="W24" i="30"/>
  <c r="AD17" i="30"/>
  <c r="I127" i="30" s="1"/>
  <c r="L127" i="30" s="1"/>
  <c r="D144" i="30" s="1"/>
  <c r="Z19" i="30"/>
  <c r="X19" i="30"/>
  <c r="X25" i="30"/>
  <c r="T75" i="30"/>
  <c r="R75" i="30"/>
  <c r="S75" i="30"/>
  <c r="K140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1" i="1"/>
  <c r="K142" i="1"/>
  <c r="B25" i="34"/>
  <c r="B32" i="34"/>
  <c r="B28" i="34"/>
  <c r="B27" i="34"/>
  <c r="B26" i="34"/>
  <c r="K149" i="1"/>
  <c r="K143" i="1"/>
  <c r="B31" i="34"/>
  <c r="K150" i="1"/>
  <c r="K144" i="1"/>
  <c r="B24" i="34"/>
  <c r="C28" i="34"/>
  <c r="C32" i="34"/>
  <c r="C26" i="34"/>
  <c r="C27" i="34"/>
  <c r="C31" i="34"/>
  <c r="C25" i="34"/>
  <c r="C24" i="34"/>
  <c r="AH4" i="32"/>
  <c r="AB26" i="30" l="1"/>
  <c r="M144" i="30"/>
  <c r="D162" i="30"/>
  <c r="M143" i="30"/>
  <c r="D161" i="30"/>
  <c r="J144" i="30"/>
  <c r="J143" i="30"/>
  <c r="Z26" i="30"/>
  <c r="AC26" i="30"/>
  <c r="AC39" i="30"/>
  <c r="Y53" i="30"/>
  <c r="W31" i="30"/>
  <c r="AD24" i="30"/>
  <c r="I128" i="30" s="1"/>
  <c r="L128" i="30" s="1"/>
  <c r="D145" i="30" s="1"/>
  <c r="AB39" i="30"/>
  <c r="Z39" i="30"/>
  <c r="W29" i="30"/>
  <c r="AD22" i="30"/>
  <c r="R128" i="30" s="1"/>
  <c r="U128" i="30" s="1"/>
  <c r="G145" i="30" s="1"/>
  <c r="X26" i="30"/>
  <c r="X32" i="30"/>
  <c r="AA26" i="30"/>
  <c r="AD23" i="30"/>
  <c r="W30" i="30"/>
  <c r="W26" i="30"/>
  <c r="AD25" i="30"/>
  <c r="W32" i="30"/>
  <c r="AB33" i="30" s="1"/>
  <c r="Y26" i="30"/>
  <c r="AA39" i="30"/>
  <c r="T82" i="30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AA33" i="30" l="1"/>
  <c r="AZ7" i="32"/>
  <c r="CF7" i="32"/>
  <c r="D7" i="32"/>
  <c r="K7" i="32" s="1"/>
  <c r="Q7" i="32" s="1"/>
  <c r="BP7" i="32"/>
  <c r="CV7" i="32"/>
  <c r="AJ7" i="32"/>
  <c r="AZ6" i="32"/>
  <c r="AJ6" i="32"/>
  <c r="BP6" i="32"/>
  <c r="CF6" i="32"/>
  <c r="T6" i="32"/>
  <c r="AA6" i="32" s="1"/>
  <c r="AG6" i="32" s="1"/>
  <c r="D6" i="32"/>
  <c r="K6" i="32" s="1"/>
  <c r="Q6" i="32" s="1"/>
  <c r="CV6" i="32"/>
  <c r="M145" i="30"/>
  <c r="D163" i="30"/>
  <c r="J145" i="30"/>
  <c r="W33" i="30"/>
  <c r="W39" i="30"/>
  <c r="AD32" i="30"/>
  <c r="Y33" i="30"/>
  <c r="W38" i="30"/>
  <c r="AD31" i="30"/>
  <c r="I129" i="30" s="1"/>
  <c r="L129" i="30" s="1"/>
  <c r="D146" i="30" s="1"/>
  <c r="AA46" i="30"/>
  <c r="X33" i="30"/>
  <c r="X39" i="30"/>
  <c r="AD29" i="30"/>
  <c r="R129" i="30" s="1"/>
  <c r="U129" i="30" s="1"/>
  <c r="G146" i="30" s="1"/>
  <c r="W36" i="30"/>
  <c r="Y60" i="30"/>
  <c r="W37" i="30"/>
  <c r="AD30" i="30"/>
  <c r="Z46" i="30"/>
  <c r="AC33" i="30"/>
  <c r="AB46" i="30"/>
  <c r="Z33" i="30"/>
  <c r="AC46" i="30"/>
  <c r="N89" i="30"/>
  <c r="O89" i="30"/>
  <c r="O96" i="30" s="1"/>
  <c r="U88" i="30"/>
  <c r="N95" i="30"/>
  <c r="N96" i="30" s="1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D15" i="3" s="1"/>
  <c r="B14" i="3"/>
  <c r="D14" i="3" s="1"/>
  <c r="B37" i="2"/>
  <c r="B36" i="2"/>
  <c r="AC40" i="30" l="1"/>
  <c r="AA40" i="30"/>
  <c r="Z40" i="30"/>
  <c r="AB40" i="30"/>
  <c r="M146" i="30"/>
  <c r="D164" i="30"/>
  <c r="CF8" i="32"/>
  <c r="D8" i="32"/>
  <c r="K8" i="32" s="1"/>
  <c r="Q8" i="32" s="1"/>
  <c r="BP8" i="32"/>
  <c r="AZ8" i="32"/>
  <c r="CV8" i="32"/>
  <c r="AJ8" i="32"/>
  <c r="J146" i="30"/>
  <c r="W43" i="30"/>
  <c r="AD36" i="30"/>
  <c r="R130" i="30" s="1"/>
  <c r="U130" i="30" s="1"/>
  <c r="G147" i="30" s="1"/>
  <c r="AD38" i="30"/>
  <c r="I130" i="30" s="1"/>
  <c r="L130" i="30" s="1"/>
  <c r="D147" i="30" s="1"/>
  <c r="W45" i="30"/>
  <c r="W44" i="30"/>
  <c r="AD37" i="30"/>
  <c r="AA53" i="30"/>
  <c r="Z53" i="30"/>
  <c r="AB53" i="30"/>
  <c r="Y67" i="30"/>
  <c r="X40" i="30"/>
  <c r="X46" i="30"/>
  <c r="W40" i="30"/>
  <c r="W46" i="30"/>
  <c r="AD39" i="30"/>
  <c r="Y40" i="30"/>
  <c r="AC53" i="30"/>
  <c r="N100" i="30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AB47" i="30" l="1"/>
  <c r="D9" i="32"/>
  <c r="K9" i="32" s="1"/>
  <c r="Q9" i="32" s="1"/>
  <c r="CV9" i="32"/>
  <c r="CF9" i="32"/>
  <c r="BP9" i="32"/>
  <c r="AZ9" i="32"/>
  <c r="AJ9" i="32"/>
  <c r="M147" i="30"/>
  <c r="D165" i="30"/>
  <c r="J147" i="30"/>
  <c r="AA47" i="30"/>
  <c r="AC47" i="30"/>
  <c r="AA60" i="30"/>
  <c r="AC60" i="30"/>
  <c r="AB60" i="30"/>
  <c r="W51" i="30"/>
  <c r="AD44" i="30"/>
  <c r="W52" i="30"/>
  <c r="AD45" i="30"/>
  <c r="I131" i="30" s="1"/>
  <c r="L131" i="30" s="1"/>
  <c r="D148" i="30" s="1"/>
  <c r="W47" i="30"/>
  <c r="AD46" i="30"/>
  <c r="W53" i="30"/>
  <c r="Y47" i="30"/>
  <c r="Z60" i="30"/>
  <c r="Y74" i="30"/>
  <c r="Y88" i="30"/>
  <c r="X47" i="30"/>
  <c r="X53" i="30"/>
  <c r="Z47" i="30"/>
  <c r="AD43" i="30"/>
  <c r="R131" i="30" s="1"/>
  <c r="U131" i="30" s="1"/>
  <c r="G148" i="30" s="1"/>
  <c r="W50" i="30"/>
  <c r="E159" i="3"/>
  <c r="D159" i="3"/>
  <c r="G159" i="3"/>
  <c r="F159" i="3"/>
  <c r="F158" i="3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J148" i="30" l="1"/>
  <c r="D11" i="32" s="1"/>
  <c r="K11" i="32" s="1"/>
  <c r="Q11" i="32" s="1"/>
  <c r="D166" i="30"/>
  <c r="CV10" i="32"/>
  <c r="BP10" i="32"/>
  <c r="AJ10" i="32"/>
  <c r="D10" i="32"/>
  <c r="CF10" i="32"/>
  <c r="AZ10" i="32"/>
  <c r="M148" i="30"/>
  <c r="X54" i="30"/>
  <c r="X60" i="30"/>
  <c r="W54" i="30"/>
  <c r="AD53" i="30"/>
  <c r="W60" i="30"/>
  <c r="Y54" i="30"/>
  <c r="AB67" i="30"/>
  <c r="AB54" i="30"/>
  <c r="Y95" i="30"/>
  <c r="AD51" i="30"/>
  <c r="W58" i="30"/>
  <c r="AC54" i="30"/>
  <c r="Y81" i="30"/>
  <c r="W59" i="30"/>
  <c r="AD52" i="30"/>
  <c r="I132" i="30" s="1"/>
  <c r="L132" i="30" s="1"/>
  <c r="D149" i="30" s="1"/>
  <c r="AC67" i="30"/>
  <c r="AD50" i="30"/>
  <c r="R132" i="30" s="1"/>
  <c r="U132" i="30" s="1"/>
  <c r="G149" i="30" s="1"/>
  <c r="W57" i="30"/>
  <c r="Z67" i="30"/>
  <c r="AA54" i="30"/>
  <c r="Z54" i="30"/>
  <c r="AA67" i="30"/>
  <c r="A132" i="30"/>
  <c r="A114" i="30" s="1"/>
  <c r="A131" i="30"/>
  <c r="A113" i="30" s="1"/>
  <c r="B49" i="30"/>
  <c r="AA61" i="30" l="1"/>
  <c r="AB61" i="30"/>
  <c r="Z61" i="30"/>
  <c r="AJ11" i="32"/>
  <c r="AZ11" i="32"/>
  <c r="BP11" i="32"/>
  <c r="CF11" i="32"/>
  <c r="CV11" i="32"/>
  <c r="M149" i="30"/>
  <c r="D167" i="30"/>
  <c r="K10" i="32"/>
  <c r="J149" i="30"/>
  <c r="AC61" i="30"/>
  <c r="AD58" i="30"/>
  <c r="W65" i="30"/>
  <c r="AB88" i="30"/>
  <c r="AB74" i="30"/>
  <c r="W61" i="30"/>
  <c r="AD60" i="30"/>
  <c r="W67" i="30"/>
  <c r="Y61" i="30"/>
  <c r="AA88" i="30"/>
  <c r="AA74" i="30"/>
  <c r="AC88" i="30"/>
  <c r="AC74" i="30"/>
  <c r="Y102" i="30"/>
  <c r="W64" i="30"/>
  <c r="AD57" i="30"/>
  <c r="AD59" i="30"/>
  <c r="W66" i="30"/>
  <c r="X61" i="30"/>
  <c r="X67" i="30"/>
  <c r="Z74" i="30"/>
  <c r="Z88" i="30"/>
  <c r="H55" i="1"/>
  <c r="W55" i="1" s="1"/>
  <c r="AL55" i="1" s="1"/>
  <c r="G55" i="1"/>
  <c r="V55" i="1" l="1"/>
  <c r="AK55" i="1" s="1"/>
  <c r="AZ12" i="32"/>
  <c r="CV12" i="32"/>
  <c r="AJ12" i="32"/>
  <c r="CF12" i="32"/>
  <c r="D12" i="32"/>
  <c r="BP12" i="32"/>
  <c r="Q10" i="32"/>
  <c r="I133" i="30"/>
  <c r="L133" i="30" s="1"/>
  <c r="D150" i="30" s="1"/>
  <c r="R133" i="30"/>
  <c r="U133" i="30" s="1"/>
  <c r="G150" i="30" s="1"/>
  <c r="X68" i="30"/>
  <c r="X74" i="30"/>
  <c r="X88" i="30"/>
  <c r="AC81" i="30"/>
  <c r="AD66" i="30"/>
  <c r="W73" i="30"/>
  <c r="AC68" i="30"/>
  <c r="AB81" i="30"/>
  <c r="AA81" i="30"/>
  <c r="AB95" i="30"/>
  <c r="AA95" i="30"/>
  <c r="AB68" i="30"/>
  <c r="Z95" i="30"/>
  <c r="W71" i="30"/>
  <c r="AD64" i="30"/>
  <c r="AA68" i="30"/>
  <c r="AC95" i="30"/>
  <c r="Z81" i="30"/>
  <c r="AD65" i="30"/>
  <c r="W72" i="30"/>
  <c r="Z68" i="30"/>
  <c r="W68" i="30"/>
  <c r="W74" i="30"/>
  <c r="AD67" i="30"/>
  <c r="Y68" i="30"/>
  <c r="N161" i="30"/>
  <c r="M150" i="30" l="1"/>
  <c r="D168" i="30"/>
  <c r="K12" i="32"/>
  <c r="J150" i="30"/>
  <c r="I134" i="30"/>
  <c r="L134" i="30" s="1"/>
  <c r="D151" i="30" s="1"/>
  <c r="R134" i="30"/>
  <c r="U134" i="30" s="1"/>
  <c r="G151" i="30" s="1"/>
  <c r="W75" i="30"/>
  <c r="W81" i="30"/>
  <c r="AD74" i="30"/>
  <c r="Y75" i="30"/>
  <c r="AC102" i="30"/>
  <c r="AA102" i="30"/>
  <c r="AD73" i="30"/>
  <c r="W80" i="30"/>
  <c r="AB102" i="30"/>
  <c r="AD72" i="30"/>
  <c r="W79" i="30"/>
  <c r="AC75" i="30"/>
  <c r="W78" i="30"/>
  <c r="AD71" i="30"/>
  <c r="Z102" i="30"/>
  <c r="AA75" i="30"/>
  <c r="X95" i="30"/>
  <c r="X75" i="30"/>
  <c r="X81" i="30"/>
  <c r="Z75" i="30"/>
  <c r="AB75" i="30"/>
  <c r="I12" i="13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D58" i="3" s="1"/>
  <c r="B32" i="3"/>
  <c r="N31" i="3"/>
  <c r="L31" i="3"/>
  <c r="I31" i="3"/>
  <c r="B16" i="3"/>
  <c r="D16" i="3" s="1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5" i="37"/>
  <c r="A4" i="37"/>
  <c r="A2" i="37"/>
  <c r="B25" i="35"/>
  <c r="E107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3" i="1"/>
  <c r="C92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5" i="1"/>
  <c r="U55" i="1" s="1"/>
  <c r="AJ55" i="1" s="1"/>
  <c r="E55" i="1"/>
  <c r="T55" i="1" s="1"/>
  <c r="AI55" i="1" s="1"/>
  <c r="D55" i="1"/>
  <c r="S55" i="1" s="1"/>
  <c r="AH55" i="1" s="1"/>
  <c r="T7" i="30"/>
  <c r="S7" i="30"/>
  <c r="R7" i="30"/>
  <c r="Q7" i="30"/>
  <c r="N7" i="30"/>
  <c r="K7" i="30"/>
  <c r="J7" i="30"/>
  <c r="I7" i="30"/>
  <c r="H7" i="30"/>
  <c r="E7" i="30"/>
  <c r="C55" i="1"/>
  <c r="R55" i="1" s="1"/>
  <c r="AG55" i="1" s="1"/>
  <c r="D10" i="41"/>
  <c r="M161" i="30"/>
  <c r="L161" i="30"/>
  <c r="K161" i="30"/>
  <c r="B11" i="18"/>
  <c r="D169" i="30" l="1"/>
  <c r="CV13" i="32"/>
  <c r="CF13" i="32"/>
  <c r="BP13" i="32"/>
  <c r="AZ13" i="32"/>
  <c r="AJ13" i="32"/>
  <c r="D13" i="32"/>
  <c r="Q12" i="32"/>
  <c r="X82" i="30"/>
  <c r="M151" i="30"/>
  <c r="J151" i="30"/>
  <c r="I135" i="30"/>
  <c r="L135" i="30" s="1"/>
  <c r="D152" i="30" s="1"/>
  <c r="R135" i="30"/>
  <c r="U135" i="30" s="1"/>
  <c r="G152" i="30" s="1"/>
  <c r="AA82" i="30"/>
  <c r="AD79" i="30"/>
  <c r="W86" i="30"/>
  <c r="AC82" i="30"/>
  <c r="AB82" i="30"/>
  <c r="AD78" i="30"/>
  <c r="W85" i="30"/>
  <c r="W87" i="30"/>
  <c r="AD80" i="30"/>
  <c r="W82" i="30"/>
  <c r="AD81" i="30"/>
  <c r="W88" i="30"/>
  <c r="Y82" i="30"/>
  <c r="X102" i="30"/>
  <c r="Z82" i="30"/>
  <c r="B202" i="3"/>
  <c r="E202" i="3"/>
  <c r="C202" i="3"/>
  <c r="E58" i="3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1" i="1"/>
  <c r="H4" i="10"/>
  <c r="H6" i="10" s="1"/>
  <c r="F13" i="10" s="1"/>
  <c r="F65" i="3"/>
  <c r="D7" i="28"/>
  <c r="C86" i="1"/>
  <c r="C95" i="1" s="1"/>
  <c r="G31" i="10"/>
  <c r="E44" i="10" s="1"/>
  <c r="A6" i="29"/>
  <c r="B207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3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0" i="1"/>
  <c r="C9" i="3"/>
  <c r="E9" i="3" s="1"/>
  <c r="D31" i="2"/>
  <c r="C8" i="2"/>
  <c r="E8" i="2" s="1"/>
  <c r="E22" i="2" s="1"/>
  <c r="G7" i="30"/>
  <c r="D37" i="14"/>
  <c r="P14" i="17"/>
  <c r="D33" i="14"/>
  <c r="P10" i="17"/>
  <c r="G161" i="30"/>
  <c r="D33" i="2"/>
  <c r="C11" i="3"/>
  <c r="E11" i="3" s="1"/>
  <c r="F4" i="39"/>
  <c r="BN4" i="32"/>
  <c r="D35" i="14"/>
  <c r="P12" i="17"/>
  <c r="J161" i="30"/>
  <c r="AX4" i="32"/>
  <c r="E4" i="39"/>
  <c r="E6" i="18"/>
  <c r="E8" i="18"/>
  <c r="D89" i="1"/>
  <c r="H161" i="30"/>
  <c r="B4" i="39"/>
  <c r="B4" i="32"/>
  <c r="G4" i="39"/>
  <c r="CD4" i="32"/>
  <c r="D74" i="1"/>
  <c r="D84" i="1"/>
  <c r="I161" i="30"/>
  <c r="D32" i="2"/>
  <c r="C10" i="3"/>
  <c r="E10" i="3" s="1"/>
  <c r="D38" i="2"/>
  <c r="C16" i="3"/>
  <c r="E16" i="3" s="1"/>
  <c r="C4" i="39"/>
  <c r="R4" i="32"/>
  <c r="H4" i="39"/>
  <c r="CT4" i="32"/>
  <c r="E7" i="18"/>
  <c r="D75" i="1"/>
  <c r="D32" i="14"/>
  <c r="P9" i="17"/>
  <c r="D34" i="14"/>
  <c r="P11" i="17"/>
  <c r="D36" i="14"/>
  <c r="P13" i="17"/>
  <c r="D38" i="14"/>
  <c r="P15" i="17"/>
  <c r="CF14" i="32" l="1"/>
  <c r="AZ14" i="32"/>
  <c r="CV14" i="32"/>
  <c r="BP14" i="32"/>
  <c r="AJ14" i="32"/>
  <c r="D14" i="32"/>
  <c r="K14" i="32" s="1"/>
  <c r="Q14" i="32" s="1"/>
  <c r="M152" i="30"/>
  <c r="D170" i="30"/>
  <c r="J152" i="30"/>
  <c r="K13" i="32"/>
  <c r="I136" i="30"/>
  <c r="L136" i="30" s="1"/>
  <c r="D153" i="30" s="1"/>
  <c r="R136" i="30"/>
  <c r="U136" i="30" s="1"/>
  <c r="G153" i="30" s="1"/>
  <c r="W89" i="30"/>
  <c r="AD88" i="30"/>
  <c r="W95" i="30"/>
  <c r="Y89" i="30"/>
  <c r="AA89" i="30"/>
  <c r="Z89" i="30"/>
  <c r="AB89" i="30"/>
  <c r="AC89" i="30"/>
  <c r="X89" i="30"/>
  <c r="AD87" i="30"/>
  <c r="W94" i="30"/>
  <c r="W92" i="30"/>
  <c r="AD85" i="30"/>
  <c r="AD86" i="30"/>
  <c r="W93" i="30"/>
  <c r="B167" i="3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I139" i="3" s="1"/>
  <c r="L139" i="3" s="1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M19" i="32"/>
  <c r="AM18" i="32"/>
  <c r="AM17" i="32"/>
  <c r="AM16" i="32"/>
  <c r="AM15" i="32"/>
  <c r="AM14" i="32"/>
  <c r="AM13" i="32"/>
  <c r="AM12" i="32"/>
  <c r="AM11" i="32"/>
  <c r="AM10" i="32"/>
  <c r="AM9" i="32"/>
  <c r="AM8" i="32"/>
  <c r="AM7" i="32"/>
  <c r="AM6" i="32"/>
  <c r="AK19" i="32"/>
  <c r="AK18" i="32"/>
  <c r="AK17" i="32"/>
  <c r="AK16" i="32"/>
  <c r="AK15" i="32"/>
  <c r="AK14" i="32"/>
  <c r="AK13" i="32"/>
  <c r="AQ13" i="32" s="1"/>
  <c r="AK12" i="32"/>
  <c r="AQ12" i="32" s="1"/>
  <c r="AK11" i="32"/>
  <c r="AQ11" i="32" s="1"/>
  <c r="AK10" i="32"/>
  <c r="AQ10" i="32" s="1"/>
  <c r="AK9" i="32"/>
  <c r="AQ9" i="32" s="1"/>
  <c r="AK8" i="32"/>
  <c r="AQ8" i="32" s="1"/>
  <c r="AK7" i="32"/>
  <c r="AQ7" i="32" s="1"/>
  <c r="AK6" i="32"/>
  <c r="AQ6" i="32" s="1"/>
  <c r="N11" i="17"/>
  <c r="R11" i="17" s="1"/>
  <c r="BS17" i="32"/>
  <c r="BS13" i="32"/>
  <c r="BW13" i="32" s="1"/>
  <c r="BS9" i="32"/>
  <c r="BW9" i="32" s="1"/>
  <c r="BQ18" i="32"/>
  <c r="BQ10" i="32"/>
  <c r="BQ17" i="32"/>
  <c r="BQ9" i="32"/>
  <c r="BS16" i="32"/>
  <c r="BS12" i="32"/>
  <c r="BW12" i="32" s="1"/>
  <c r="BS8" i="32"/>
  <c r="BW8" i="32" s="1"/>
  <c r="BQ16" i="32"/>
  <c r="BQ8" i="32"/>
  <c r="N13" i="17"/>
  <c r="BS19" i="32"/>
  <c r="BS15" i="32"/>
  <c r="BS11" i="32"/>
  <c r="BW11" i="32" s="1"/>
  <c r="BS7" i="32"/>
  <c r="BW7" i="32" s="1"/>
  <c r="BQ14" i="32"/>
  <c r="BQ6" i="32"/>
  <c r="O13" i="17"/>
  <c r="BQ13" i="32"/>
  <c r="BS18" i="32"/>
  <c r="BS14" i="32"/>
  <c r="BS10" i="32"/>
  <c r="BW10" i="32" s="1"/>
  <c r="BS6" i="32"/>
  <c r="BW6" i="32" s="1"/>
  <c r="BQ12" i="32"/>
  <c r="F6" i="39"/>
  <c r="BQ19" i="32"/>
  <c r="BQ15" i="32"/>
  <c r="BQ11" i="32"/>
  <c r="BQ7" i="32"/>
  <c r="CI15" i="32"/>
  <c r="CI12" i="32"/>
  <c r="CI17" i="32"/>
  <c r="CI9" i="32"/>
  <c r="CG16" i="32"/>
  <c r="CG12" i="32"/>
  <c r="CG8" i="32"/>
  <c r="CI14" i="32"/>
  <c r="CI6" i="32"/>
  <c r="O14" i="17"/>
  <c r="CI16" i="32"/>
  <c r="CI8" i="32"/>
  <c r="CI13" i="32"/>
  <c r="CG18" i="32"/>
  <c r="CG14" i="32"/>
  <c r="CG10" i="32"/>
  <c r="CG6" i="32"/>
  <c r="G6" i="39"/>
  <c r="CI18" i="32"/>
  <c r="CI10" i="32"/>
  <c r="CG13" i="32"/>
  <c r="CI11" i="32"/>
  <c r="CG11" i="32"/>
  <c r="CG9" i="32"/>
  <c r="CG7" i="32"/>
  <c r="N14" i="17"/>
  <c r="CI7" i="32"/>
  <c r="CI19" i="32"/>
  <c r="CG19" i="32"/>
  <c r="CG17" i="32"/>
  <c r="CG15" i="32"/>
  <c r="CY17" i="32"/>
  <c r="CW17" i="32"/>
  <c r="CY14" i="32"/>
  <c r="CW9" i="32"/>
  <c r="DC9" i="32" s="1"/>
  <c r="CY6" i="32"/>
  <c r="CY19" i="32"/>
  <c r="CW14" i="32"/>
  <c r="CY11" i="32"/>
  <c r="CW6" i="32"/>
  <c r="DC6" i="32" s="1"/>
  <c r="N15" i="17"/>
  <c r="CW19" i="32"/>
  <c r="CY16" i="32"/>
  <c r="CW11" i="32"/>
  <c r="DC11" i="32" s="1"/>
  <c r="CY8" i="32"/>
  <c r="CY18" i="32"/>
  <c r="CW13" i="32"/>
  <c r="DC13" i="32" s="1"/>
  <c r="CY10" i="32"/>
  <c r="CW18" i="32"/>
  <c r="CY15" i="32"/>
  <c r="CW10" i="32"/>
  <c r="DC10" i="32" s="1"/>
  <c r="CY7" i="32"/>
  <c r="CW15" i="32"/>
  <c r="CY12" i="32"/>
  <c r="CW7" i="32"/>
  <c r="DC7" i="32" s="1"/>
  <c r="CW12" i="32"/>
  <c r="DC12" i="32" s="1"/>
  <c r="H6" i="39"/>
  <c r="CY9" i="32"/>
  <c r="O15" i="17"/>
  <c r="CW8" i="32"/>
  <c r="DC8" i="32" s="1"/>
  <c r="CW16" i="32"/>
  <c r="CY13" i="32"/>
  <c r="Y151" i="30"/>
  <c r="AA144" i="30"/>
  <c r="W151" i="30"/>
  <c r="Y144" i="30"/>
  <c r="U151" i="30"/>
  <c r="W144" i="30"/>
  <c r="AC151" i="30"/>
  <c r="AC144" i="30"/>
  <c r="S151" i="30"/>
  <c r="U144" i="30"/>
  <c r="S144" i="30"/>
  <c r="AE144" i="30"/>
  <c r="AE151" i="30"/>
  <c r="AA151" i="30"/>
  <c r="W148" i="30"/>
  <c r="W153" i="30"/>
  <c r="W146" i="30"/>
  <c r="W155" i="30"/>
  <c r="W154" i="30"/>
  <c r="W149" i="30"/>
  <c r="W147" i="30"/>
  <c r="W156" i="30"/>
  <c r="Y146" i="30"/>
  <c r="AA149" i="30"/>
  <c r="Y155" i="30"/>
  <c r="Y147" i="30"/>
  <c r="AE148" i="30"/>
  <c r="AE149" i="30"/>
  <c r="AC149" i="30"/>
  <c r="AE146" i="30"/>
  <c r="Y149" i="30"/>
  <c r="Y156" i="30"/>
  <c r="AE147" i="30"/>
  <c r="AE155" i="30"/>
  <c r="AA148" i="30"/>
  <c r="AC154" i="30"/>
  <c r="AE156" i="30"/>
  <c r="Y153" i="30"/>
  <c r="AA146" i="30"/>
  <c r="AA153" i="30"/>
  <c r="AC156" i="30"/>
  <c r="AE154" i="30"/>
  <c r="AE153" i="30"/>
  <c r="AA147" i="30"/>
  <c r="AC153" i="30"/>
  <c r="AC146" i="30"/>
  <c r="AC148" i="30"/>
  <c r="AC155" i="30"/>
  <c r="AC147" i="30"/>
  <c r="AA154" i="30"/>
  <c r="AA156" i="30"/>
  <c r="Y154" i="30"/>
  <c r="Y148" i="30"/>
  <c r="AA155" i="30"/>
  <c r="U155" i="30"/>
  <c r="U146" i="30"/>
  <c r="S147" i="30"/>
  <c r="U154" i="30"/>
  <c r="S156" i="30"/>
  <c r="U156" i="30"/>
  <c r="U153" i="30"/>
  <c r="S154" i="30"/>
  <c r="S155" i="30"/>
  <c r="U147" i="30"/>
  <c r="S153" i="30"/>
  <c r="S146" i="30"/>
  <c r="S148" i="30"/>
  <c r="U148" i="30"/>
  <c r="U149" i="30"/>
  <c r="S149" i="30"/>
  <c r="N134" i="30"/>
  <c r="N136" i="30"/>
  <c r="Q136" i="30" s="1"/>
  <c r="N135" i="30"/>
  <c r="Q135" i="30" s="1"/>
  <c r="N138" i="30"/>
  <c r="Q138" i="30" s="1"/>
  <c r="E135" i="30"/>
  <c r="H135" i="30" s="1"/>
  <c r="N133" i="30"/>
  <c r="E134" i="30"/>
  <c r="N137" i="30"/>
  <c r="Q137" i="30" s="1"/>
  <c r="E138" i="30"/>
  <c r="H138" i="30" s="1"/>
  <c r="E137" i="30"/>
  <c r="H137" i="30" s="1"/>
  <c r="N128" i="30"/>
  <c r="E139" i="30"/>
  <c r="H139" i="30" s="1"/>
  <c r="N139" i="30"/>
  <c r="Q139" i="30" s="1"/>
  <c r="E128" i="30"/>
  <c r="E136" i="30"/>
  <c r="H136" i="30" s="1"/>
  <c r="E133" i="30"/>
  <c r="N131" i="30"/>
  <c r="N130" i="30"/>
  <c r="N127" i="30"/>
  <c r="E129" i="30"/>
  <c r="N132" i="30"/>
  <c r="E127" i="30"/>
  <c r="E132" i="30"/>
  <c r="N129" i="30"/>
  <c r="E130" i="30"/>
  <c r="E131" i="30"/>
  <c r="M134" i="30"/>
  <c r="M136" i="30"/>
  <c r="P136" i="30" s="1"/>
  <c r="M135" i="30"/>
  <c r="P135" i="30" s="1"/>
  <c r="M138" i="30"/>
  <c r="D135" i="30"/>
  <c r="G135" i="30" s="1"/>
  <c r="D134" i="30"/>
  <c r="M133" i="30"/>
  <c r="M137" i="30"/>
  <c r="P137" i="30" s="1"/>
  <c r="D137" i="30"/>
  <c r="G137" i="30" s="1"/>
  <c r="D138" i="30"/>
  <c r="M128" i="30"/>
  <c r="D139" i="30"/>
  <c r="M139" i="30"/>
  <c r="D128" i="30"/>
  <c r="D133" i="30"/>
  <c r="D136" i="30"/>
  <c r="G136" i="30" s="1"/>
  <c r="M130" i="30"/>
  <c r="M127" i="30"/>
  <c r="M131" i="30"/>
  <c r="D130" i="30"/>
  <c r="D132" i="30"/>
  <c r="M129" i="30"/>
  <c r="D129" i="30"/>
  <c r="D131" i="30"/>
  <c r="M132" i="30"/>
  <c r="D127" i="30"/>
  <c r="AE72" i="30"/>
  <c r="D41" i="3" s="1"/>
  <c r="AF71" i="30"/>
  <c r="D89" i="3" s="1"/>
  <c r="AE71" i="30"/>
  <c r="AE79" i="30"/>
  <c r="D42" i="3" s="1"/>
  <c r="AF78" i="30"/>
  <c r="D90" i="3" s="1"/>
  <c r="AE78" i="30"/>
  <c r="AE74" i="30"/>
  <c r="AE81" i="30"/>
  <c r="M126" i="30"/>
  <c r="AE86" i="30"/>
  <c r="D43" i="3" s="1"/>
  <c r="AE85" i="30"/>
  <c r="AE88" i="30"/>
  <c r="AF85" i="30"/>
  <c r="D91" i="3" s="1"/>
  <c r="A10" i="18"/>
  <c r="A26" i="18" s="1"/>
  <c r="F107" i="3"/>
  <c r="E107" i="3"/>
  <c r="F60" i="3"/>
  <c r="F59" i="3"/>
  <c r="C87" i="1"/>
  <c r="C96" i="1" s="1"/>
  <c r="D72" i="1"/>
  <c r="C88" i="1"/>
  <c r="C97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I6" i="29" s="1"/>
  <c r="B19" i="29"/>
  <c r="A11" i="17"/>
  <c r="B20" i="16"/>
  <c r="C20" i="16" s="1"/>
  <c r="D86" i="1"/>
  <c r="D95" i="1"/>
  <c r="H114" i="1" s="1"/>
  <c r="H11" i="13" s="1"/>
  <c r="J11" i="13" s="1"/>
  <c r="L11" i="13" s="1"/>
  <c r="M11" i="13" s="1"/>
  <c r="B34" i="14"/>
  <c r="E34" i="14" s="1"/>
  <c r="A6" i="18"/>
  <c r="A22" i="18" s="1"/>
  <c r="A13" i="19"/>
  <c r="D88" i="1"/>
  <c r="A8" i="29"/>
  <c r="B209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5" i="1" s="1"/>
  <c r="C93" i="1"/>
  <c r="E13" i="34"/>
  <c r="C14" i="34"/>
  <c r="E14" i="34" s="1"/>
  <c r="C89" i="1"/>
  <c r="C98" i="1" s="1"/>
  <c r="A14" i="19"/>
  <c r="A22" i="29"/>
  <c r="A9" i="29"/>
  <c r="B210" i="1" s="1"/>
  <c r="C85" i="1"/>
  <c r="C94" i="1" s="1"/>
  <c r="A10" i="19"/>
  <c r="A18" i="29"/>
  <c r="A5" i="29"/>
  <c r="B206" i="1" s="1"/>
  <c r="E12" i="34"/>
  <c r="A10" i="29"/>
  <c r="B211" i="1" s="1"/>
  <c r="A15" i="19"/>
  <c r="A23" i="29"/>
  <c r="C90" i="1"/>
  <c r="C99" i="1" s="1"/>
  <c r="A7" i="29"/>
  <c r="B208" i="1" s="1"/>
  <c r="A12" i="19"/>
  <c r="A20" i="29"/>
  <c r="N126" i="30"/>
  <c r="B168" i="1"/>
  <c r="G168" i="1" s="1"/>
  <c r="B169" i="1"/>
  <c r="G169" i="1" s="1"/>
  <c r="DI6" i="32" l="1"/>
  <c r="AQ14" i="32"/>
  <c r="AW14" i="32" s="1"/>
  <c r="DI8" i="32"/>
  <c r="DI12" i="32"/>
  <c r="DI11" i="32"/>
  <c r="DI7" i="32"/>
  <c r="DI10" i="32"/>
  <c r="AW8" i="32"/>
  <c r="DI9" i="32"/>
  <c r="DC14" i="32"/>
  <c r="DI14" i="32" s="1"/>
  <c r="BW14" i="32"/>
  <c r="BZ14" i="32" s="1"/>
  <c r="D171" i="30"/>
  <c r="J153" i="30"/>
  <c r="AZ15" i="32"/>
  <c r="CV15" i="32"/>
  <c r="DC15" i="32" s="1"/>
  <c r="DI15" i="32" s="1"/>
  <c r="BP15" i="32"/>
  <c r="AJ15" i="32"/>
  <c r="AQ15" i="32" s="1"/>
  <c r="AW15" i="32" s="1"/>
  <c r="D15" i="32"/>
  <c r="CF15" i="32"/>
  <c r="CM15" i="32" s="1"/>
  <c r="CS15" i="32" s="1"/>
  <c r="DI13" i="32"/>
  <c r="Q13" i="32"/>
  <c r="CM12" i="32"/>
  <c r="CS12" i="32" s="1"/>
  <c r="CM13" i="32"/>
  <c r="CS13" i="32" s="1"/>
  <c r="CM7" i="32"/>
  <c r="CS7" i="32" s="1"/>
  <c r="CM6" i="32"/>
  <c r="CM9" i="32"/>
  <c r="CS9" i="32" s="1"/>
  <c r="CM10" i="32"/>
  <c r="CS10" i="32" s="1"/>
  <c r="CM11" i="32"/>
  <c r="CS11" i="32" s="1"/>
  <c r="CM14" i="32"/>
  <c r="CS14" i="32" s="1"/>
  <c r="CM8" i="32"/>
  <c r="CS8" i="32" s="1"/>
  <c r="AW7" i="32"/>
  <c r="CC9" i="32"/>
  <c r="BZ9" i="32"/>
  <c r="CC8" i="32"/>
  <c r="BZ8" i="32"/>
  <c r="CC13" i="32"/>
  <c r="BZ13" i="32"/>
  <c r="BZ6" i="32"/>
  <c r="CC6" i="32"/>
  <c r="CC7" i="32"/>
  <c r="BZ7" i="32"/>
  <c r="BZ12" i="32"/>
  <c r="CC12" i="32"/>
  <c r="CC10" i="32"/>
  <c r="BZ10" i="32"/>
  <c r="CC11" i="32"/>
  <c r="BZ11" i="32"/>
  <c r="AW9" i="32"/>
  <c r="AW10" i="32"/>
  <c r="AW11" i="32"/>
  <c r="AW12" i="32"/>
  <c r="AW13" i="32"/>
  <c r="AW6" i="32"/>
  <c r="M153" i="30"/>
  <c r="I137" i="30"/>
  <c r="L137" i="30" s="1"/>
  <c r="D154" i="30" s="1"/>
  <c r="R137" i="30"/>
  <c r="U137" i="30" s="1"/>
  <c r="G154" i="30" s="1"/>
  <c r="AD93" i="30"/>
  <c r="W100" i="30"/>
  <c r="AD100" i="30" s="1"/>
  <c r="W99" i="30"/>
  <c r="AD99" i="30" s="1"/>
  <c r="AD92" i="30"/>
  <c r="AD94" i="30"/>
  <c r="W101" i="30"/>
  <c r="AD101" i="30" s="1"/>
  <c r="W96" i="30"/>
  <c r="W102" i="30"/>
  <c r="AD95" i="30"/>
  <c r="Y96" i="30"/>
  <c r="AB96" i="30"/>
  <c r="Z96" i="30"/>
  <c r="AC96" i="30"/>
  <c r="AA96" i="30"/>
  <c r="X96" i="30"/>
  <c r="H155" i="3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BA19" i="32"/>
  <c r="BA18" i="32"/>
  <c r="BA17" i="32"/>
  <c r="BA16" i="32"/>
  <c r="BA15" i="32"/>
  <c r="BA14" i="32"/>
  <c r="BA13" i="32"/>
  <c r="BA12" i="32"/>
  <c r="BA11" i="32"/>
  <c r="BA10" i="32"/>
  <c r="BA9" i="32"/>
  <c r="BA8" i="32"/>
  <c r="BA7" i="32"/>
  <c r="BA6" i="32"/>
  <c r="E6" i="39"/>
  <c r="N12" i="17"/>
  <c r="R12" i="17" s="1"/>
  <c r="O12" i="17"/>
  <c r="BC16" i="32"/>
  <c r="BC12" i="32"/>
  <c r="BC8" i="32"/>
  <c r="BG8" i="32" s="1"/>
  <c r="BM8" i="32" s="1"/>
  <c r="BC19" i="32"/>
  <c r="BC15" i="32"/>
  <c r="BC11" i="32"/>
  <c r="BC7" i="32"/>
  <c r="BC18" i="32"/>
  <c r="BC14" i="32"/>
  <c r="BG14" i="32" s="1"/>
  <c r="BM14" i="32" s="1"/>
  <c r="BC10" i="32"/>
  <c r="BC6" i="32"/>
  <c r="BC17" i="32"/>
  <c r="BC13" i="32"/>
  <c r="BC9" i="32"/>
  <c r="BG9" i="32" s="1"/>
  <c r="B23" i="11"/>
  <c r="AG11" i="17"/>
  <c r="AF11" i="17"/>
  <c r="B11" i="17"/>
  <c r="F169" i="1"/>
  <c r="H169" i="1"/>
  <c r="E169" i="1"/>
  <c r="E168" i="1"/>
  <c r="H168" i="1"/>
  <c r="F168" i="1"/>
  <c r="A43" i="34"/>
  <c r="A42" i="34"/>
  <c r="E74" i="14"/>
  <c r="H75" i="14" s="1"/>
  <c r="K75" i="14" s="1"/>
  <c r="I31" i="18"/>
  <c r="I30" i="18"/>
  <c r="I32" i="18"/>
  <c r="D87" i="1"/>
  <c r="I21" i="18"/>
  <c r="D85" i="1"/>
  <c r="A41" i="34"/>
  <c r="D34" i="41"/>
  <c r="B170" i="1"/>
  <c r="G170" i="1" s="1"/>
  <c r="B171" i="1"/>
  <c r="G171" i="1" s="1"/>
  <c r="B172" i="1"/>
  <c r="G172" i="1" s="1"/>
  <c r="T11" i="17"/>
  <c r="L57" i="30"/>
  <c r="G133" i="30" s="1"/>
  <c r="D97" i="1"/>
  <c r="J114" i="1" s="1"/>
  <c r="L64" i="30"/>
  <c r="G134" i="30" s="1"/>
  <c r="E109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I8" i="29" s="1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I5" i="29" s="1"/>
  <c r="D94" i="1"/>
  <c r="G114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I9" i="29" s="1"/>
  <c r="D98" i="1"/>
  <c r="K114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3" i="1"/>
  <c r="B4" i="29"/>
  <c r="I4" i="29" s="1"/>
  <c r="F61" i="30"/>
  <c r="Q68" i="30"/>
  <c r="B24" i="16"/>
  <c r="C24" i="16" s="1"/>
  <c r="B38" i="14"/>
  <c r="E38" i="14" s="1"/>
  <c r="R15" i="17"/>
  <c r="A15" i="17"/>
  <c r="B10" i="29"/>
  <c r="I10" i="29" s="1"/>
  <c r="D99" i="1"/>
  <c r="L114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I7" i="29" s="1"/>
  <c r="D96" i="1"/>
  <c r="I114" i="1" s="1"/>
  <c r="H12" i="13" s="1"/>
  <c r="J12" i="13" s="1"/>
  <c r="L12" i="13" s="1"/>
  <c r="M12" i="13" s="1"/>
  <c r="F68" i="30"/>
  <c r="L66" i="30"/>
  <c r="U57" i="30"/>
  <c r="H133" i="30" s="1"/>
  <c r="J68" i="30"/>
  <c r="R61" i="30"/>
  <c r="H61" i="30"/>
  <c r="E61" i="30"/>
  <c r="L60" i="30"/>
  <c r="U64" i="30"/>
  <c r="H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BG13" i="32" l="1"/>
  <c r="BM13" i="32" s="1"/>
  <c r="BG7" i="32"/>
  <c r="BM7" i="32" s="1"/>
  <c r="BG11" i="32"/>
  <c r="BG12" i="32"/>
  <c r="BM12" i="32" s="1"/>
  <c r="BG6" i="32"/>
  <c r="BM6" i="32" s="1"/>
  <c r="BG10" i="32"/>
  <c r="BM10" i="32" s="1"/>
  <c r="CC14" i="32"/>
  <c r="BG15" i="32"/>
  <c r="BM15" i="32" s="1"/>
  <c r="D172" i="30"/>
  <c r="CV16" i="32"/>
  <c r="BP16" i="32"/>
  <c r="BW16" i="32" s="1"/>
  <c r="AJ16" i="32"/>
  <c r="AQ16" i="32" s="1"/>
  <c r="D16" i="32"/>
  <c r="K16" i="32" s="1"/>
  <c r="Q16" i="32" s="1"/>
  <c r="CF16" i="32"/>
  <c r="CM16" i="32" s="1"/>
  <c r="CS16" i="32" s="1"/>
  <c r="AZ16" i="32"/>
  <c r="BG16" i="32" s="1"/>
  <c r="BM16" i="32" s="1"/>
  <c r="K15" i="32"/>
  <c r="BW15" i="32"/>
  <c r="CS6" i="32"/>
  <c r="BM11" i="32"/>
  <c r="BM9" i="32"/>
  <c r="M154" i="30"/>
  <c r="J154" i="30"/>
  <c r="I138" i="30"/>
  <c r="L138" i="30" s="1"/>
  <c r="D155" i="30" s="1"/>
  <c r="R138" i="30"/>
  <c r="U138" i="30" s="1"/>
  <c r="G155" i="30" s="1"/>
  <c r="I139" i="30"/>
  <c r="L139" i="30" s="1"/>
  <c r="D156" i="30" s="1"/>
  <c r="R139" i="30"/>
  <c r="U139" i="30" s="1"/>
  <c r="G156" i="30" s="1"/>
  <c r="W103" i="30"/>
  <c r="AD102" i="30"/>
  <c r="Y103" i="30"/>
  <c r="AA103" i="30"/>
  <c r="AC103" i="30"/>
  <c r="Z103" i="30"/>
  <c r="AB103" i="30"/>
  <c r="X103" i="30"/>
  <c r="I153" i="3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L131" i="3"/>
  <c r="B26" i="11"/>
  <c r="B25" i="11"/>
  <c r="O23" i="11"/>
  <c r="P23" i="11" s="1"/>
  <c r="L23" i="11"/>
  <c r="E23" i="11"/>
  <c r="F23" i="11" s="1"/>
  <c r="G23" i="11" s="1"/>
  <c r="I23" i="11" s="1"/>
  <c r="D23" i="11"/>
  <c r="C21" i="11"/>
  <c r="B24" i="11"/>
  <c r="H7" i="29"/>
  <c r="B27" i="11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1" i="1"/>
  <c r="E171" i="1"/>
  <c r="H171" i="1"/>
  <c r="E172" i="1"/>
  <c r="F172" i="1"/>
  <c r="H172" i="1"/>
  <c r="H170" i="1"/>
  <c r="F170" i="1"/>
  <c r="E170" i="1"/>
  <c r="P134" i="30"/>
  <c r="P133" i="30"/>
  <c r="Q134" i="30"/>
  <c r="Q133" i="30"/>
  <c r="A45" i="34"/>
  <c r="A46" i="34"/>
  <c r="A44" i="34"/>
  <c r="K184" i="3"/>
  <c r="D38" i="41"/>
  <c r="AF64" i="30"/>
  <c r="D88" i="3" s="1"/>
  <c r="AF57" i="30"/>
  <c r="D87" i="3" s="1"/>
  <c r="B22" i="11"/>
  <c r="B21" i="11"/>
  <c r="T14" i="17"/>
  <c r="T10" i="17"/>
  <c r="T13" i="17"/>
  <c r="T9" i="17"/>
  <c r="T12" i="17"/>
  <c r="T15" i="17"/>
  <c r="AE64" i="30"/>
  <c r="AE57" i="30"/>
  <c r="AE67" i="30"/>
  <c r="AE58" i="30"/>
  <c r="D39" i="3" s="1"/>
  <c r="AE65" i="30"/>
  <c r="D40" i="3" s="1"/>
  <c r="AE60" i="30"/>
  <c r="B13" i="19"/>
  <c r="B10" i="19"/>
  <c r="B14" i="19"/>
  <c r="B12" i="19"/>
  <c r="B15" i="19"/>
  <c r="F114" i="1"/>
  <c r="B9" i="19"/>
  <c r="J153" i="3" l="1"/>
  <c r="DL6" i="32"/>
  <c r="J155" i="30"/>
  <c r="BP18" i="32" s="1"/>
  <c r="BW18" i="32" s="1"/>
  <c r="M156" i="30"/>
  <c r="D174" i="30"/>
  <c r="DC16" i="32"/>
  <c r="CC15" i="32"/>
  <c r="BZ15" i="32"/>
  <c r="Q15" i="32"/>
  <c r="M155" i="30"/>
  <c r="D173" i="30"/>
  <c r="AW16" i="32"/>
  <c r="J156" i="30"/>
  <c r="CV17" i="32"/>
  <c r="DC17" i="32" s="1"/>
  <c r="DI17" i="32" s="1"/>
  <c r="CF17" i="32"/>
  <c r="CM17" i="32" s="1"/>
  <c r="AZ17" i="32"/>
  <c r="BG17" i="32" s="1"/>
  <c r="BM17" i="32" s="1"/>
  <c r="BP17" i="32"/>
  <c r="AJ17" i="32"/>
  <c r="AQ17" i="32" s="1"/>
  <c r="AW17" i="32" s="1"/>
  <c r="D17" i="32"/>
  <c r="CC16" i="32"/>
  <c r="BZ16" i="32"/>
  <c r="L144" i="3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H9" i="13"/>
  <c r="J9" i="13" s="1"/>
  <c r="L9" i="13" s="1"/>
  <c r="M9" i="13" s="1"/>
  <c r="E114" i="1"/>
  <c r="CF18" i="32" l="1"/>
  <c r="CM18" i="32" s="1"/>
  <c r="CS18" i="32" s="1"/>
  <c r="D18" i="32"/>
  <c r="K18" i="32" s="1"/>
  <c r="Q18" i="32" s="1"/>
  <c r="CV18" i="32"/>
  <c r="DC18" i="32" s="1"/>
  <c r="DI18" i="32" s="1"/>
  <c r="AJ18" i="32"/>
  <c r="AQ18" i="32" s="1"/>
  <c r="AW18" i="32" s="1"/>
  <c r="AZ18" i="32"/>
  <c r="BG18" i="32" s="1"/>
  <c r="BM18" i="32" s="1"/>
  <c r="K17" i="32"/>
  <c r="CS17" i="32"/>
  <c r="DI16" i="32"/>
  <c r="BW17" i="32"/>
  <c r="AZ19" i="32"/>
  <c r="CV19" i="32"/>
  <c r="DC19" i="32" s="1"/>
  <c r="DI19" i="32" s="1"/>
  <c r="BP19" i="32"/>
  <c r="BW19" i="32" s="1"/>
  <c r="AJ19" i="32"/>
  <c r="D19" i="32"/>
  <c r="K19" i="32" s="1"/>
  <c r="Q19" i="32" s="1"/>
  <c r="CF19" i="32"/>
  <c r="CC18" i="32"/>
  <c r="BZ18" i="32"/>
  <c r="M27" i="1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CV20" i="32" l="1"/>
  <c r="E23" i="29" s="1"/>
  <c r="DI21" i="32"/>
  <c r="E10" i="29" s="1"/>
  <c r="AQ19" i="32"/>
  <c r="AJ20" i="32"/>
  <c r="E19" i="29" s="1"/>
  <c r="BP20" i="32"/>
  <c r="E21" i="29" s="1"/>
  <c r="DC21" i="32"/>
  <c r="D20" i="32"/>
  <c r="E17" i="29" s="1"/>
  <c r="BZ19" i="32"/>
  <c r="CC19" i="32"/>
  <c r="BZ17" i="32"/>
  <c r="CC17" i="32"/>
  <c r="BW21" i="32"/>
  <c r="CM19" i="32"/>
  <c r="CF20" i="32"/>
  <c r="E22" i="29" s="1"/>
  <c r="Q17" i="32"/>
  <c r="K21" i="32"/>
  <c r="AZ20" i="32"/>
  <c r="E20" i="29" s="1"/>
  <c r="BG19" i="32"/>
  <c r="R21" i="11"/>
  <c r="I21" i="11"/>
  <c r="G28" i="11"/>
  <c r="P17" i="14"/>
  <c r="H17" i="14"/>
  <c r="CC21" i="32" l="1"/>
  <c r="E8" i="29" s="1"/>
  <c r="BZ21" i="32"/>
  <c r="CS19" i="32"/>
  <c r="CS21" i="32" s="1"/>
  <c r="E9" i="29" s="1"/>
  <c r="CM21" i="32"/>
  <c r="BM19" i="32"/>
  <c r="BM21" i="32" s="1"/>
  <c r="E7" i="29" s="1"/>
  <c r="BG21" i="32"/>
  <c r="AW19" i="32"/>
  <c r="AW21" i="32" s="1"/>
  <c r="E6" i="29" s="1"/>
  <c r="AQ21" i="32"/>
  <c r="J21" i="11"/>
  <c r="I28" i="11"/>
  <c r="K21" i="11" l="1"/>
  <c r="J28" i="11"/>
  <c r="O7" i="30" l="1"/>
  <c r="F7" i="30" l="1"/>
  <c r="L8" i="30" l="1"/>
  <c r="L11" i="30"/>
  <c r="L9" i="30"/>
  <c r="J12" i="30"/>
  <c r="I12" i="30"/>
  <c r="F12" i="30"/>
  <c r="L10" i="30"/>
  <c r="K12" i="30"/>
  <c r="E12" i="30"/>
  <c r="H12" i="30"/>
  <c r="G12" i="30"/>
  <c r="P7" i="30"/>
  <c r="J135" i="30" l="1"/>
  <c r="B152" i="30" s="1"/>
  <c r="S137" i="30"/>
  <c r="E154" i="30" s="1"/>
  <c r="J137" i="30"/>
  <c r="B154" i="30" s="1"/>
  <c r="J136" i="30"/>
  <c r="B153" i="30" s="1"/>
  <c r="P126" i="30"/>
  <c r="S126" i="30" s="1"/>
  <c r="E143" i="30" s="1"/>
  <c r="U8" i="30"/>
  <c r="T12" i="30"/>
  <c r="AE143" i="30" s="1"/>
  <c r="U11" i="30"/>
  <c r="AE11" i="30" s="1"/>
  <c r="R12" i="30"/>
  <c r="AA143" i="30" s="1"/>
  <c r="S12" i="30"/>
  <c r="AC143" i="30" s="1"/>
  <c r="U9" i="30"/>
  <c r="AE9" i="30" s="1"/>
  <c r="N12" i="30"/>
  <c r="S143" i="30" s="1"/>
  <c r="O12" i="30"/>
  <c r="U143" i="30" s="1"/>
  <c r="U10" i="30"/>
  <c r="Q12" i="30"/>
  <c r="Y143" i="30" s="1"/>
  <c r="P12" i="30"/>
  <c r="W143" i="30" s="1"/>
  <c r="AF8" i="30" l="1"/>
  <c r="D80" i="3" s="1"/>
  <c r="Q126" i="30"/>
  <c r="T126" i="30" s="1"/>
  <c r="F143" i="30" s="1"/>
  <c r="AE8" i="30"/>
  <c r="B172" i="30"/>
  <c r="K154" i="30"/>
  <c r="H154" i="30"/>
  <c r="D32" i="3"/>
  <c r="T139" i="30"/>
  <c r="F156" i="30" s="1"/>
  <c r="K137" i="30"/>
  <c r="C154" i="30" s="1"/>
  <c r="T138" i="30"/>
  <c r="F155" i="30" s="1"/>
  <c r="K136" i="30"/>
  <c r="C153" i="30" s="1"/>
  <c r="K135" i="30"/>
  <c r="C152" i="30" s="1"/>
  <c r="T137" i="30"/>
  <c r="F154" i="30" s="1"/>
  <c r="AH17" i="32" l="1"/>
  <c r="AO17" i="32" s="1"/>
  <c r="AU17" i="32" s="1"/>
  <c r="B17" i="32"/>
  <c r="I17" i="32" s="1"/>
  <c r="O17" i="32" s="1"/>
  <c r="C172" i="30"/>
  <c r="E172" i="30" s="1"/>
  <c r="CD17" i="32"/>
  <c r="CK17" i="32" s="1"/>
  <c r="CQ17" i="32" s="1"/>
  <c r="R17" i="32"/>
  <c r="CT17" i="32"/>
  <c r="DA17" i="32" s="1"/>
  <c r="DG17" i="32" s="1"/>
  <c r="AX17" i="32"/>
  <c r="BE17" i="32" s="1"/>
  <c r="BK17" i="32" s="1"/>
  <c r="BN17" i="32"/>
  <c r="BU17" i="32" s="1"/>
  <c r="I154" i="30"/>
  <c r="L154" i="30"/>
  <c r="I14" i="30"/>
  <c r="H14" i="30"/>
  <c r="G14" i="30"/>
  <c r="F172" i="30" l="1"/>
  <c r="Q172" i="30" s="1"/>
  <c r="R172" i="30" s="1"/>
  <c r="P154" i="30"/>
  <c r="C42" i="2" s="1"/>
  <c r="F42" i="2" s="1"/>
  <c r="S17" i="32"/>
  <c r="Z17" i="32" s="1"/>
  <c r="AF17" i="32" s="1"/>
  <c r="BX17" i="32"/>
  <c r="CA17" i="32"/>
  <c r="Y17" i="32"/>
  <c r="AE17" i="32" s="1"/>
  <c r="N154" i="30"/>
  <c r="R154" i="30"/>
  <c r="CU17" i="32"/>
  <c r="DB17" i="32" s="1"/>
  <c r="DH17" i="32" s="1"/>
  <c r="AY17" i="32"/>
  <c r="BF17" i="32" s="1"/>
  <c r="BL17" i="32" s="1"/>
  <c r="BO17" i="32"/>
  <c r="BV17" i="32" s="1"/>
  <c r="CE17" i="32"/>
  <c r="CL17" i="32" s="1"/>
  <c r="CR17" i="32" s="1"/>
  <c r="C17" i="32"/>
  <c r="J17" i="32" s="1"/>
  <c r="P17" i="32" s="1"/>
  <c r="AI17" i="32"/>
  <c r="AP17" i="32" s="1"/>
  <c r="AV17" i="32" s="1"/>
  <c r="G21" i="30"/>
  <c r="H21" i="30"/>
  <c r="I21" i="30"/>
  <c r="Q14" i="30"/>
  <c r="Y145" i="30" s="1"/>
  <c r="DJ17" i="32" l="1"/>
  <c r="O172" i="30"/>
  <c r="P172" i="30" s="1"/>
  <c r="S172" i="30" s="1"/>
  <c r="C91" i="3"/>
  <c r="CB17" i="32"/>
  <c r="DK17" i="32" s="1"/>
  <c r="BY17" i="32"/>
  <c r="Z154" i="30"/>
  <c r="T17" i="32" s="1"/>
  <c r="AA17" i="32" s="1"/>
  <c r="AG17" i="32" s="1"/>
  <c r="DL17" i="32" s="1"/>
  <c r="T154" i="30"/>
  <c r="AB154" i="30"/>
  <c r="X154" i="30"/>
  <c r="AF154" i="30"/>
  <c r="AD154" i="30"/>
  <c r="V154" i="30"/>
  <c r="C43" i="3"/>
  <c r="G43" i="3" s="1"/>
  <c r="O43" i="3" s="1"/>
  <c r="P43" i="3" s="1"/>
  <c r="H28" i="30"/>
  <c r="I28" i="30"/>
  <c r="G28" i="30"/>
  <c r="Q21" i="30"/>
  <c r="Y152" i="30" s="1"/>
  <c r="R14" i="30"/>
  <c r="AA145" i="30" s="1"/>
  <c r="H35" i="30" l="1"/>
  <c r="I35" i="30"/>
  <c r="G35" i="30"/>
  <c r="Q28" i="30"/>
  <c r="R21" i="30"/>
  <c r="AA152" i="30" s="1"/>
  <c r="P14" i="30"/>
  <c r="W145" i="30" s="1"/>
  <c r="S14" i="30"/>
  <c r="J14" i="30"/>
  <c r="AC145" i="30" l="1"/>
  <c r="G42" i="30"/>
  <c r="H42" i="30"/>
  <c r="I42" i="30"/>
  <c r="Q35" i="30"/>
  <c r="J21" i="30"/>
  <c r="S21" i="30"/>
  <c r="R28" i="30"/>
  <c r="P21" i="30"/>
  <c r="W152" i="30" s="1"/>
  <c r="AC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E23" i="3" s="1"/>
  <c r="D34" i="2"/>
  <c r="T14" i="30"/>
  <c r="K14" i="30"/>
  <c r="AE145" i="30" l="1"/>
  <c r="C38" i="34"/>
  <c r="N14" i="30"/>
  <c r="E14" i="30"/>
  <c r="F27" i="34"/>
  <c r="B38" i="34"/>
  <c r="K21" i="30"/>
  <c r="T21" i="30"/>
  <c r="O14" i="30"/>
  <c r="F14" i="30"/>
  <c r="AE152" i="30" l="1"/>
  <c r="U145" i="30"/>
  <c r="S145" i="30"/>
  <c r="L93" i="30"/>
  <c r="AE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G127" i="30" s="1"/>
  <c r="L15" i="30"/>
  <c r="L18" i="30"/>
  <c r="L16" i="30"/>
  <c r="H19" i="30"/>
  <c r="G19" i="30"/>
  <c r="I19" i="30"/>
  <c r="J19" i="30"/>
  <c r="K19" i="30"/>
  <c r="U17" i="30"/>
  <c r="H127" i="30" s="1"/>
  <c r="U15" i="30"/>
  <c r="Q127" i="30" s="1"/>
  <c r="T127" i="30" s="1"/>
  <c r="F144" i="30" s="1"/>
  <c r="N19" i="30"/>
  <c r="U16" i="30"/>
  <c r="U18" i="30"/>
  <c r="Q19" i="30"/>
  <c r="R19" i="30"/>
  <c r="P19" i="30"/>
  <c r="S19" i="30"/>
  <c r="K28" i="30"/>
  <c r="T28" i="30"/>
  <c r="O21" i="30"/>
  <c r="F21" i="30"/>
  <c r="K127" i="30" l="1"/>
  <c r="C144" i="30" s="1"/>
  <c r="J127" i="30"/>
  <c r="B144" i="30" s="1"/>
  <c r="AE18" i="30"/>
  <c r="AE16" i="30"/>
  <c r="D33" i="3" s="1"/>
  <c r="P127" i="30"/>
  <c r="S127" i="30" s="1"/>
  <c r="E144" i="30" s="1"/>
  <c r="AE15" i="30"/>
  <c r="AF15" i="30"/>
  <c r="D81" i="3" s="1"/>
  <c r="AE150" i="30"/>
  <c r="AA150" i="30"/>
  <c r="S150" i="30"/>
  <c r="U150" i="30"/>
  <c r="P138" i="30"/>
  <c r="S138" i="30" s="1"/>
  <c r="E155" i="30" s="1"/>
  <c r="G138" i="30"/>
  <c r="AC150" i="30"/>
  <c r="W150" i="30"/>
  <c r="S152" i="30"/>
  <c r="Y150" i="30"/>
  <c r="U152" i="30"/>
  <c r="T136" i="30"/>
  <c r="F153" i="30" s="1"/>
  <c r="C171" i="30" s="1"/>
  <c r="K134" i="30"/>
  <c r="C151" i="30" s="1"/>
  <c r="S134" i="30"/>
  <c r="E151" i="30" s="1"/>
  <c r="T134" i="30"/>
  <c r="F151" i="30" s="1"/>
  <c r="T135" i="30"/>
  <c r="F152" i="30" s="1"/>
  <c r="C170" i="30" s="1"/>
  <c r="K133" i="30"/>
  <c r="C150" i="30" s="1"/>
  <c r="J134" i="30"/>
  <c r="B151" i="30" s="1"/>
  <c r="S136" i="30"/>
  <c r="E153" i="30" s="1"/>
  <c r="B171" i="30" s="1"/>
  <c r="S133" i="30"/>
  <c r="E150" i="30" s="1"/>
  <c r="S135" i="30"/>
  <c r="E152" i="30" s="1"/>
  <c r="B170" i="30" s="1"/>
  <c r="J133" i="30"/>
  <c r="B150" i="30" s="1"/>
  <c r="T133" i="30"/>
  <c r="F150" i="30" s="1"/>
  <c r="AE92" i="30"/>
  <c r="L101" i="30"/>
  <c r="L99" i="30"/>
  <c r="L100" i="30"/>
  <c r="AE100" i="30" s="1"/>
  <c r="D45" i="3" s="1"/>
  <c r="E96" i="30"/>
  <c r="L95" i="30"/>
  <c r="AE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0" i="1"/>
  <c r="F15" i="20"/>
  <c r="F17" i="20" s="1"/>
  <c r="O26" i="30"/>
  <c r="F26" i="30"/>
  <c r="K26" i="30"/>
  <c r="N28" i="30"/>
  <c r="E28" i="30"/>
  <c r="T26" i="30"/>
  <c r="U25" i="30"/>
  <c r="U22" i="30"/>
  <c r="N26" i="30"/>
  <c r="U23" i="30"/>
  <c r="K139" i="30" s="1"/>
  <c r="C156" i="30" s="1"/>
  <c r="C174" i="30" s="1"/>
  <c r="U24" i="30"/>
  <c r="H128" i="30" s="1"/>
  <c r="K128" i="30" s="1"/>
  <c r="C145" i="30" s="1"/>
  <c r="Q26" i="30"/>
  <c r="R26" i="30"/>
  <c r="P26" i="30"/>
  <c r="S26" i="30"/>
  <c r="L24" i="30"/>
  <c r="G128" i="30" s="1"/>
  <c r="J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C162" i="30" l="1"/>
  <c r="I144" i="30"/>
  <c r="S7" i="32" s="1"/>
  <c r="Z7" i="32" s="1"/>
  <c r="AF7" i="32" s="1"/>
  <c r="L144" i="30"/>
  <c r="B162" i="30"/>
  <c r="AE23" i="30"/>
  <c r="E171" i="30"/>
  <c r="F171" i="30" s="1"/>
  <c r="E170" i="30"/>
  <c r="F170" i="30" s="1"/>
  <c r="H144" i="30"/>
  <c r="K144" i="30"/>
  <c r="AE25" i="30"/>
  <c r="AF22" i="30"/>
  <c r="D82" i="3" s="1"/>
  <c r="AE22" i="30"/>
  <c r="B169" i="30"/>
  <c r="C169" i="30"/>
  <c r="C168" i="30"/>
  <c r="B168" i="30"/>
  <c r="P139" i="30"/>
  <c r="S139" i="30" s="1"/>
  <c r="E156" i="30" s="1"/>
  <c r="G139" i="30"/>
  <c r="J139" i="30" s="1"/>
  <c r="B156" i="30" s="1"/>
  <c r="K138" i="30"/>
  <c r="C155" i="30" s="1"/>
  <c r="C173" i="30" s="1"/>
  <c r="Q128" i="30"/>
  <c r="T128" i="30" s="1"/>
  <c r="F145" i="30" s="1"/>
  <c r="I145" i="30" s="1"/>
  <c r="S8" i="32" s="1"/>
  <c r="Z8" i="32" s="1"/>
  <c r="AF8" i="32" s="1"/>
  <c r="J138" i="30"/>
  <c r="B155" i="30" s="1"/>
  <c r="P128" i="30"/>
  <c r="S128" i="30" s="1"/>
  <c r="E145" i="30" s="1"/>
  <c r="H145" i="30" s="1"/>
  <c r="O154" i="30"/>
  <c r="E91" i="3" s="1"/>
  <c r="I152" i="30"/>
  <c r="S15" i="32" s="1"/>
  <c r="Z15" i="32" s="1"/>
  <c r="AF15" i="32" s="1"/>
  <c r="L152" i="30"/>
  <c r="I153" i="30"/>
  <c r="S16" i="32" s="1"/>
  <c r="Z16" i="32" s="1"/>
  <c r="AF16" i="32" s="1"/>
  <c r="L153" i="30"/>
  <c r="K153" i="30"/>
  <c r="H153" i="30"/>
  <c r="K152" i="30"/>
  <c r="H152" i="30"/>
  <c r="L150" i="30"/>
  <c r="I150" i="30"/>
  <c r="S13" i="32" s="1"/>
  <c r="Z13" i="32" s="1"/>
  <c r="AF13" i="32" s="1"/>
  <c r="L151" i="30"/>
  <c r="I151" i="30"/>
  <c r="S14" i="32" s="1"/>
  <c r="Z14" i="32" s="1"/>
  <c r="AF14" i="32" s="1"/>
  <c r="L156" i="30"/>
  <c r="I156" i="30"/>
  <c r="S19" i="32" s="1"/>
  <c r="Z19" i="32" s="1"/>
  <c r="AF19" i="32" s="1"/>
  <c r="K151" i="30"/>
  <c r="H151" i="30"/>
  <c r="K150" i="30"/>
  <c r="H150" i="30"/>
  <c r="N150" i="30" s="1"/>
  <c r="AE99" i="30"/>
  <c r="AF92" i="30"/>
  <c r="D92" i="3" s="1"/>
  <c r="E103" i="30"/>
  <c r="L102" i="30"/>
  <c r="AE102" i="30" s="1"/>
  <c r="H103" i="30"/>
  <c r="I103" i="30"/>
  <c r="G103" i="30"/>
  <c r="J103" i="30"/>
  <c r="F103" i="30"/>
  <c r="D12" i="41"/>
  <c r="C189" i="1"/>
  <c r="D39" i="41"/>
  <c r="C3" i="20"/>
  <c r="F33" i="30"/>
  <c r="O33" i="30"/>
  <c r="D34" i="3"/>
  <c r="U29" i="30"/>
  <c r="Q129" i="30" s="1"/>
  <c r="T129" i="30" s="1"/>
  <c r="F146" i="30" s="1"/>
  <c r="U31" i="30"/>
  <c r="H129" i="30" s="1"/>
  <c r="K129" i="30" s="1"/>
  <c r="C146" i="30" s="1"/>
  <c r="U32" i="30"/>
  <c r="U30" i="30"/>
  <c r="N33" i="30"/>
  <c r="Q33" i="30"/>
  <c r="R33" i="30"/>
  <c r="P33" i="30"/>
  <c r="S33" i="30"/>
  <c r="N35" i="30"/>
  <c r="L31" i="30"/>
  <c r="G129" i="30" s="1"/>
  <c r="J129" i="30" s="1"/>
  <c r="B146" i="30" s="1"/>
  <c r="L29" i="30"/>
  <c r="E33" i="30"/>
  <c r="L30" i="30"/>
  <c r="L32" i="30"/>
  <c r="AE32" i="30" s="1"/>
  <c r="G33" i="30"/>
  <c r="H33" i="30"/>
  <c r="I33" i="30"/>
  <c r="J33" i="30"/>
  <c r="T33" i="30"/>
  <c r="K33" i="30"/>
  <c r="E35" i="30"/>
  <c r="K42" i="30"/>
  <c r="T42" i="30"/>
  <c r="O35" i="30"/>
  <c r="F35" i="30"/>
  <c r="N151" i="30" l="1"/>
  <c r="E162" i="30"/>
  <c r="F162" i="30" s="1"/>
  <c r="Q162" i="30" s="1"/>
  <c r="R162" i="30" s="1"/>
  <c r="N144" i="30"/>
  <c r="O144" i="30" s="1"/>
  <c r="B7" i="32"/>
  <c r="N153" i="30"/>
  <c r="O153" i="30" s="1"/>
  <c r="R144" i="30"/>
  <c r="AB144" i="30" s="1"/>
  <c r="E169" i="30"/>
  <c r="F169" i="30" s="1"/>
  <c r="O169" i="30" s="1"/>
  <c r="P169" i="30" s="1"/>
  <c r="E168" i="30"/>
  <c r="F168" i="30" s="1"/>
  <c r="O168" i="30" s="1"/>
  <c r="P168" i="30" s="1"/>
  <c r="P144" i="30"/>
  <c r="N145" i="30"/>
  <c r="O145" i="30" s="1"/>
  <c r="N152" i="30"/>
  <c r="O152" i="30" s="1"/>
  <c r="AE30" i="30"/>
  <c r="D35" i="3" s="1"/>
  <c r="P129" i="30"/>
  <c r="S129" i="30" s="1"/>
  <c r="E146" i="30" s="1"/>
  <c r="B164" i="30" s="1"/>
  <c r="AE29" i="30"/>
  <c r="AF29" i="30"/>
  <c r="D83" i="3" s="1"/>
  <c r="O170" i="30"/>
  <c r="P170" i="30" s="1"/>
  <c r="Q170" i="30"/>
  <c r="R170" i="30" s="1"/>
  <c r="F91" i="3"/>
  <c r="G91" i="3" s="1"/>
  <c r="O171" i="30"/>
  <c r="P171" i="30" s="1"/>
  <c r="Q171" i="30"/>
  <c r="R171" i="30" s="1"/>
  <c r="I155" i="30"/>
  <c r="C163" i="30"/>
  <c r="B174" i="30"/>
  <c r="K156" i="30"/>
  <c r="L155" i="30"/>
  <c r="C15" i="32"/>
  <c r="J15" i="32" s="1"/>
  <c r="P15" i="32" s="1"/>
  <c r="CE15" i="32"/>
  <c r="CL15" i="32" s="1"/>
  <c r="CR15" i="32" s="1"/>
  <c r="BO15" i="32"/>
  <c r="BV15" i="32" s="1"/>
  <c r="AI15" i="32"/>
  <c r="AP15" i="32" s="1"/>
  <c r="AV15" i="32" s="1"/>
  <c r="CU15" i="32"/>
  <c r="DB15" i="32" s="1"/>
  <c r="DH15" i="32" s="1"/>
  <c r="AY15" i="32"/>
  <c r="BF15" i="32" s="1"/>
  <c r="BL15" i="32" s="1"/>
  <c r="R150" i="30"/>
  <c r="T150" i="30" s="1"/>
  <c r="L146" i="30"/>
  <c r="C164" i="30"/>
  <c r="R151" i="30"/>
  <c r="AF151" i="30" s="1"/>
  <c r="CE16" i="32"/>
  <c r="CL16" i="32" s="1"/>
  <c r="CR16" i="32" s="1"/>
  <c r="AI16" i="32"/>
  <c r="AP16" i="32" s="1"/>
  <c r="AV16" i="32" s="1"/>
  <c r="BO16" i="32"/>
  <c r="BV16" i="32" s="1"/>
  <c r="CU16" i="32"/>
  <c r="DB16" i="32" s="1"/>
  <c r="DH16" i="32" s="1"/>
  <c r="C16" i="32"/>
  <c r="J16" i="32" s="1"/>
  <c r="P16" i="32" s="1"/>
  <c r="AY16" i="32"/>
  <c r="BF16" i="32" s="1"/>
  <c r="BL16" i="32" s="1"/>
  <c r="CD15" i="32"/>
  <c r="CK15" i="32" s="1"/>
  <c r="CQ15" i="32" s="1"/>
  <c r="AH15" i="32"/>
  <c r="AO15" i="32" s="1"/>
  <c r="AU15" i="32" s="1"/>
  <c r="R15" i="32"/>
  <c r="CT15" i="32"/>
  <c r="DA15" i="32" s="1"/>
  <c r="DG15" i="32" s="1"/>
  <c r="AX15" i="32"/>
  <c r="BE15" i="32" s="1"/>
  <c r="BK15" i="32" s="1"/>
  <c r="BN15" i="32"/>
  <c r="BU15" i="32" s="1"/>
  <c r="B15" i="32"/>
  <c r="I15" i="32" s="1"/>
  <c r="O15" i="32" s="1"/>
  <c r="H155" i="30"/>
  <c r="B173" i="30"/>
  <c r="R153" i="30"/>
  <c r="T153" i="30" s="1"/>
  <c r="B16" i="32"/>
  <c r="I16" i="32" s="1"/>
  <c r="O16" i="32" s="1"/>
  <c r="CD16" i="32"/>
  <c r="CK16" i="32" s="1"/>
  <c r="CQ16" i="32" s="1"/>
  <c r="AH16" i="32"/>
  <c r="AO16" i="32" s="1"/>
  <c r="AU16" i="32" s="1"/>
  <c r="R16" i="32"/>
  <c r="CT16" i="32"/>
  <c r="DA16" i="32" s="1"/>
  <c r="DG16" i="32" s="1"/>
  <c r="AX16" i="32"/>
  <c r="BE16" i="32" s="1"/>
  <c r="BK16" i="32" s="1"/>
  <c r="BN16" i="32"/>
  <c r="BU16" i="32" s="1"/>
  <c r="B163" i="30"/>
  <c r="H156" i="30"/>
  <c r="K145" i="30"/>
  <c r="K155" i="30"/>
  <c r="I146" i="30"/>
  <c r="S9" i="32" s="1"/>
  <c r="Z9" i="32" s="1"/>
  <c r="AF9" i="32" s="1"/>
  <c r="R152" i="30"/>
  <c r="R145" i="30"/>
  <c r="P145" i="30"/>
  <c r="L145" i="30"/>
  <c r="P153" i="30"/>
  <c r="P152" i="30"/>
  <c r="P151" i="30"/>
  <c r="C39" i="2" s="1"/>
  <c r="O151" i="30"/>
  <c r="O150" i="30"/>
  <c r="P150" i="30"/>
  <c r="C38" i="2" s="1"/>
  <c r="BO19" i="32"/>
  <c r="BV19" i="32" s="1"/>
  <c r="AI19" i="32"/>
  <c r="AP19" i="32" s="1"/>
  <c r="AV19" i="32" s="1"/>
  <c r="AY19" i="32"/>
  <c r="BF19" i="32" s="1"/>
  <c r="BL19" i="32" s="1"/>
  <c r="CE19" i="32"/>
  <c r="CL19" i="32" s="1"/>
  <c r="CR19" i="32" s="1"/>
  <c r="C19" i="32"/>
  <c r="J19" i="32" s="1"/>
  <c r="P19" i="32" s="1"/>
  <c r="CU19" i="32"/>
  <c r="DB19" i="32" s="1"/>
  <c r="DH19" i="32" s="1"/>
  <c r="AF99" i="30"/>
  <c r="D93" i="3" s="1"/>
  <c r="D40" i="41"/>
  <c r="K40" i="30"/>
  <c r="F40" i="30"/>
  <c r="O40" i="30"/>
  <c r="L36" i="30"/>
  <c r="L37" i="30"/>
  <c r="E40" i="30"/>
  <c r="L38" i="30"/>
  <c r="G130" i="30" s="1"/>
  <c r="L39" i="30"/>
  <c r="G40" i="30"/>
  <c r="H40" i="30"/>
  <c r="I40" i="30"/>
  <c r="J40" i="30"/>
  <c r="U37" i="30"/>
  <c r="U39" i="30"/>
  <c r="U36" i="30"/>
  <c r="Q130" i="30" s="1"/>
  <c r="T130" i="30" s="1"/>
  <c r="F147" i="30" s="1"/>
  <c r="N40" i="30"/>
  <c r="U38" i="30"/>
  <c r="H130" i="30" s="1"/>
  <c r="Q40" i="30"/>
  <c r="R40" i="30"/>
  <c r="S40" i="30"/>
  <c r="P40" i="30"/>
  <c r="N42" i="30"/>
  <c r="E42" i="30"/>
  <c r="T40" i="30"/>
  <c r="K49" i="30"/>
  <c r="T49" i="30"/>
  <c r="F42" i="30"/>
  <c r="O42" i="30"/>
  <c r="Z144" i="30" l="1"/>
  <c r="T7" i="32" s="1"/>
  <c r="AA7" i="32" s="1"/>
  <c r="AG7" i="32" s="1"/>
  <c r="DL7" i="32" s="1"/>
  <c r="O162" i="30"/>
  <c r="P162" i="30" s="1"/>
  <c r="S162" i="30" s="1"/>
  <c r="K130" i="30"/>
  <c r="C147" i="30" s="1"/>
  <c r="J130" i="30"/>
  <c r="B147" i="30" s="1"/>
  <c r="X144" i="30"/>
  <c r="T144" i="30"/>
  <c r="AF144" i="30"/>
  <c r="V144" i="30"/>
  <c r="AD144" i="30"/>
  <c r="N155" i="30"/>
  <c r="E163" i="30"/>
  <c r="F163" i="30" s="1"/>
  <c r="Q163" i="30" s="1"/>
  <c r="R163" i="30" s="1"/>
  <c r="E173" i="30"/>
  <c r="F173" i="30" s="1"/>
  <c r="E174" i="30"/>
  <c r="F174" i="30" s="1"/>
  <c r="AI18" i="32"/>
  <c r="AP18" i="32" s="1"/>
  <c r="AV18" i="32" s="1"/>
  <c r="S18" i="32"/>
  <c r="Z18" i="32" s="1"/>
  <c r="AF18" i="32" s="1"/>
  <c r="E164" i="30"/>
  <c r="F164" i="30" s="1"/>
  <c r="O164" i="30" s="1"/>
  <c r="P164" i="30" s="1"/>
  <c r="H146" i="30"/>
  <c r="N146" i="30" s="1"/>
  <c r="O146" i="30" s="1"/>
  <c r="K146" i="30"/>
  <c r="CA15" i="32"/>
  <c r="BX15" i="32"/>
  <c r="BY16" i="32"/>
  <c r="CB16" i="32"/>
  <c r="DK16" i="32" s="1"/>
  <c r="CB15" i="32"/>
  <c r="DK15" i="32" s="1"/>
  <c r="BY15" i="32"/>
  <c r="CB19" i="32"/>
  <c r="DK19" i="32" s="1"/>
  <c r="BY19" i="32"/>
  <c r="CA16" i="32"/>
  <c r="BX16" i="32"/>
  <c r="Y16" i="32"/>
  <c r="AE16" i="32" s="1"/>
  <c r="Y15" i="32"/>
  <c r="AE15" i="32" s="1"/>
  <c r="R156" i="30"/>
  <c r="AD156" i="30" s="1"/>
  <c r="N156" i="30"/>
  <c r="O156" i="30" s="1"/>
  <c r="P130" i="30"/>
  <c r="S130" i="30" s="1"/>
  <c r="E147" i="30" s="1"/>
  <c r="AF36" i="30"/>
  <c r="D84" i="3" s="1"/>
  <c r="AE36" i="30"/>
  <c r="AE37" i="30"/>
  <c r="D36" i="3" s="1"/>
  <c r="AE39" i="30"/>
  <c r="Q169" i="30"/>
  <c r="R169" i="30" s="1"/>
  <c r="S169" i="30" s="1"/>
  <c r="S171" i="30"/>
  <c r="S170" i="30"/>
  <c r="H141" i="3"/>
  <c r="G141" i="3"/>
  <c r="B188" i="3"/>
  <c r="C188" i="3" s="1"/>
  <c r="H118" i="3"/>
  <c r="G118" i="3"/>
  <c r="V151" i="30"/>
  <c r="AD151" i="30"/>
  <c r="T151" i="30"/>
  <c r="AF150" i="30"/>
  <c r="P156" i="30"/>
  <c r="C44" i="2" s="1"/>
  <c r="CU18" i="32"/>
  <c r="DB18" i="32" s="1"/>
  <c r="DH18" i="32" s="1"/>
  <c r="AY18" i="32"/>
  <c r="BF18" i="32" s="1"/>
  <c r="BL18" i="32" s="1"/>
  <c r="CE18" i="32"/>
  <c r="CL18" i="32" s="1"/>
  <c r="CR18" i="32" s="1"/>
  <c r="BO18" i="32"/>
  <c r="BV18" i="32" s="1"/>
  <c r="R155" i="30"/>
  <c r="T155" i="30" s="1"/>
  <c r="C18" i="32"/>
  <c r="J18" i="32" s="1"/>
  <c r="P18" i="32" s="1"/>
  <c r="O155" i="30"/>
  <c r="AB151" i="30"/>
  <c r="Z151" i="30"/>
  <c r="T14" i="32" s="1"/>
  <c r="AA14" i="32" s="1"/>
  <c r="AG14" i="32" s="1"/>
  <c r="DL14" i="32" s="1"/>
  <c r="P155" i="30"/>
  <c r="C43" i="2" s="1"/>
  <c r="X151" i="30"/>
  <c r="AF153" i="30"/>
  <c r="Q168" i="30"/>
  <c r="AD150" i="30"/>
  <c r="AD153" i="30"/>
  <c r="V150" i="30"/>
  <c r="X153" i="30"/>
  <c r="Z150" i="30"/>
  <c r="T13" i="32" s="1"/>
  <c r="AA13" i="32" s="1"/>
  <c r="AG13" i="32" s="1"/>
  <c r="DL13" i="32" s="1"/>
  <c r="AB153" i="30"/>
  <c r="X150" i="30"/>
  <c r="AB150" i="30"/>
  <c r="V153" i="30"/>
  <c r="Z153" i="30"/>
  <c r="T16" i="32" s="1"/>
  <c r="AA16" i="32" s="1"/>
  <c r="AG16" i="32" s="1"/>
  <c r="DL16" i="32" s="1"/>
  <c r="F38" i="2"/>
  <c r="C87" i="3"/>
  <c r="C41" i="3"/>
  <c r="G41" i="3" s="1"/>
  <c r="O41" i="3" s="1"/>
  <c r="P41" i="3" s="1"/>
  <c r="C40" i="2"/>
  <c r="F39" i="2"/>
  <c r="C88" i="3"/>
  <c r="C42" i="3"/>
  <c r="G42" i="3" s="1"/>
  <c r="O42" i="3" s="1"/>
  <c r="P42" i="3" s="1"/>
  <c r="C41" i="2"/>
  <c r="Z152" i="30"/>
  <c r="T15" i="32" s="1"/>
  <c r="AA15" i="32" s="1"/>
  <c r="AG15" i="32" s="1"/>
  <c r="DL15" i="32" s="1"/>
  <c r="AB152" i="30"/>
  <c r="T152" i="30"/>
  <c r="V152" i="30"/>
  <c r="X152" i="30"/>
  <c r="AF152" i="30"/>
  <c r="AD152" i="30"/>
  <c r="Z145" i="30"/>
  <c r="T8" i="32" s="1"/>
  <c r="AA8" i="32" s="1"/>
  <c r="AG8" i="32" s="1"/>
  <c r="DL8" i="32" s="1"/>
  <c r="X145" i="30"/>
  <c r="AF145" i="30"/>
  <c r="AB145" i="30"/>
  <c r="AD145" i="30"/>
  <c r="T145" i="30"/>
  <c r="V145" i="30"/>
  <c r="CT18" i="32"/>
  <c r="DA18" i="32" s="1"/>
  <c r="DG18" i="32" s="1"/>
  <c r="BN18" i="32"/>
  <c r="BU18" i="32" s="1"/>
  <c r="AH18" i="32"/>
  <c r="AO18" i="32" s="1"/>
  <c r="AU18" i="32" s="1"/>
  <c r="R18" i="32"/>
  <c r="AX18" i="32"/>
  <c r="BE18" i="32" s="1"/>
  <c r="BK18" i="32" s="1"/>
  <c r="B18" i="32"/>
  <c r="I18" i="32" s="1"/>
  <c r="O18" i="32" s="1"/>
  <c r="CD18" i="32"/>
  <c r="CK18" i="32" s="1"/>
  <c r="CQ18" i="32" s="1"/>
  <c r="F47" i="30"/>
  <c r="K183" i="3"/>
  <c r="U43" i="30"/>
  <c r="Q131" i="30" s="1"/>
  <c r="T131" i="30" s="1"/>
  <c r="F148" i="30" s="1"/>
  <c r="U46" i="30"/>
  <c r="N47" i="30"/>
  <c r="U44" i="30"/>
  <c r="U45" i="30"/>
  <c r="H131" i="30" s="1"/>
  <c r="K131" i="30" s="1"/>
  <c r="C148" i="30" s="1"/>
  <c r="Q47" i="30"/>
  <c r="R47" i="30"/>
  <c r="P47" i="30"/>
  <c r="S47" i="30"/>
  <c r="E49" i="30"/>
  <c r="O47" i="30"/>
  <c r="N49" i="30"/>
  <c r="L43" i="30"/>
  <c r="L45" i="30"/>
  <c r="G131" i="30" s="1"/>
  <c r="J131" i="30" s="1"/>
  <c r="B148" i="30" s="1"/>
  <c r="L44" i="30"/>
  <c r="L46" i="30"/>
  <c r="E47" i="30"/>
  <c r="G47" i="30"/>
  <c r="I47" i="30"/>
  <c r="H47" i="30"/>
  <c r="J47" i="30"/>
  <c r="K47" i="30"/>
  <c r="AI9" i="32"/>
  <c r="AP9" i="32" s="1"/>
  <c r="AV9" i="32" s="1"/>
  <c r="T47" i="30"/>
  <c r="O49" i="30"/>
  <c r="F49" i="30"/>
  <c r="C165" i="30" l="1"/>
  <c r="I147" i="30"/>
  <c r="S10" i="32" s="1"/>
  <c r="Z10" i="32" s="1"/>
  <c r="AF10" i="32" s="1"/>
  <c r="L147" i="30"/>
  <c r="H147" i="30"/>
  <c r="V156" i="30"/>
  <c r="Z156" i="30"/>
  <c r="T19" i="32" s="1"/>
  <c r="AA19" i="32" s="1"/>
  <c r="AG19" i="32" s="1"/>
  <c r="DL19" i="32" s="1"/>
  <c r="R146" i="30"/>
  <c r="V146" i="30" s="1"/>
  <c r="P146" i="30"/>
  <c r="AH9" i="32"/>
  <c r="AO9" i="32" s="1"/>
  <c r="AU9" i="32" s="1"/>
  <c r="AB156" i="30"/>
  <c r="DJ15" i="32"/>
  <c r="DJ16" i="32"/>
  <c r="AF156" i="30"/>
  <c r="T156" i="30"/>
  <c r="X156" i="30"/>
  <c r="O173" i="30"/>
  <c r="P173" i="30" s="1"/>
  <c r="Q173" i="30"/>
  <c r="R173" i="30" s="1"/>
  <c r="O174" i="30"/>
  <c r="P174" i="30" s="1"/>
  <c r="Q174" i="30"/>
  <c r="R174" i="30" s="1"/>
  <c r="CA18" i="32"/>
  <c r="BX18" i="32"/>
  <c r="CB18" i="32"/>
  <c r="DK18" i="32" s="1"/>
  <c r="BY18" i="32"/>
  <c r="Y18" i="32"/>
  <c r="AE18" i="32" s="1"/>
  <c r="K147" i="30"/>
  <c r="B165" i="30"/>
  <c r="AE46" i="30"/>
  <c r="AE44" i="30"/>
  <c r="D37" i="3" s="1"/>
  <c r="P131" i="30"/>
  <c r="S131" i="30" s="1"/>
  <c r="E148" i="30" s="1"/>
  <c r="B166" i="30" s="1"/>
  <c r="AE43" i="30"/>
  <c r="AF43" i="30"/>
  <c r="D85" i="3" s="1"/>
  <c r="R168" i="30"/>
  <c r="S168" i="30" s="1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C93" i="3"/>
  <c r="E93" i="3" s="1"/>
  <c r="F44" i="2"/>
  <c r="AF155" i="30"/>
  <c r="AB155" i="30"/>
  <c r="AD155" i="30"/>
  <c r="Q164" i="30"/>
  <c r="X155" i="30"/>
  <c r="V155" i="30"/>
  <c r="Z155" i="30"/>
  <c r="T18" i="32" s="1"/>
  <c r="AA18" i="32" s="1"/>
  <c r="AG18" i="32" s="1"/>
  <c r="DL18" i="32" s="1"/>
  <c r="O163" i="30"/>
  <c r="L148" i="30"/>
  <c r="C166" i="30"/>
  <c r="F40" i="2"/>
  <c r="C89" i="3"/>
  <c r="E89" i="3" s="1"/>
  <c r="F41" i="2"/>
  <c r="C90" i="3"/>
  <c r="E90" i="3" s="1"/>
  <c r="I148" i="30"/>
  <c r="S11" i="32" s="1"/>
  <c r="Z11" i="32" s="1"/>
  <c r="AF11" i="32" s="1"/>
  <c r="C44" i="3"/>
  <c r="G44" i="3" s="1"/>
  <c r="O44" i="3" s="1"/>
  <c r="P44" i="3" s="1"/>
  <c r="CD19" i="32"/>
  <c r="CK19" i="32" s="1"/>
  <c r="CQ19" i="32" s="1"/>
  <c r="AX19" i="32"/>
  <c r="BE19" i="32" s="1"/>
  <c r="BK19" i="32" s="1"/>
  <c r="R19" i="32"/>
  <c r="B19" i="32"/>
  <c r="I19" i="32" s="1"/>
  <c r="O19" i="32" s="1"/>
  <c r="BN19" i="32"/>
  <c r="BU19" i="32" s="1"/>
  <c r="CT19" i="32"/>
  <c r="DA19" i="32" s="1"/>
  <c r="DG19" i="32" s="1"/>
  <c r="AH19" i="32"/>
  <c r="AO19" i="32" s="1"/>
  <c r="AU19" i="32" s="1"/>
  <c r="O54" i="30"/>
  <c r="K54" i="30"/>
  <c r="CT9" i="32"/>
  <c r="DA9" i="32" s="1"/>
  <c r="DG9" i="32" s="1"/>
  <c r="R9" i="32"/>
  <c r="BN9" i="32"/>
  <c r="BU9" i="32" s="1"/>
  <c r="CD9" i="32"/>
  <c r="CK9" i="32" s="1"/>
  <c r="CQ9" i="32" s="1"/>
  <c r="AX9" i="32"/>
  <c r="BE9" i="32" s="1"/>
  <c r="BK9" i="32" s="1"/>
  <c r="B9" i="32"/>
  <c r="I9" i="32" s="1"/>
  <c r="O9" i="32" s="1"/>
  <c r="T54" i="30"/>
  <c r="L53" i="30"/>
  <c r="E54" i="30"/>
  <c r="L52" i="30"/>
  <c r="G132" i="30" s="1"/>
  <c r="J132" i="30" s="1"/>
  <c r="B149" i="30" s="1"/>
  <c r="L50" i="30"/>
  <c r="P132" i="30" s="1"/>
  <c r="S132" i="30" s="1"/>
  <c r="E149" i="30" s="1"/>
  <c r="L51" i="30"/>
  <c r="G54" i="30"/>
  <c r="H54" i="30"/>
  <c r="I54" i="30"/>
  <c r="J54" i="30"/>
  <c r="C9" i="32"/>
  <c r="J9" i="32" s="1"/>
  <c r="P9" i="32" s="1"/>
  <c r="CU9" i="32"/>
  <c r="DB9" i="32" s="1"/>
  <c r="DH9" i="32" s="1"/>
  <c r="BO9" i="32"/>
  <c r="BV9" i="32" s="1"/>
  <c r="CE9" i="32"/>
  <c r="CL9" i="32" s="1"/>
  <c r="CR9" i="32" s="1"/>
  <c r="AY9" i="32"/>
  <c r="BF9" i="32" s="1"/>
  <c r="BL9" i="32" s="1"/>
  <c r="U50" i="30"/>
  <c r="Q132" i="30" s="1"/>
  <c r="T132" i="30" s="1"/>
  <c r="F149" i="30" s="1"/>
  <c r="U53" i="30"/>
  <c r="U52" i="30"/>
  <c r="H132" i="30" s="1"/>
  <c r="K132" i="30" s="1"/>
  <c r="C149" i="30" s="1"/>
  <c r="U51" i="30"/>
  <c r="N54" i="30"/>
  <c r="Q54" i="30"/>
  <c r="R54" i="30"/>
  <c r="S54" i="30"/>
  <c r="P54" i="30"/>
  <c r="F54" i="30"/>
  <c r="DJ18" i="32" l="1"/>
  <c r="E165" i="30"/>
  <c r="F165" i="30" s="1"/>
  <c r="O165" i="30" s="1"/>
  <c r="P165" i="30" s="1"/>
  <c r="P147" i="30"/>
  <c r="N147" i="30"/>
  <c r="O147" i="30" s="1"/>
  <c r="R147" i="30"/>
  <c r="Z147" i="30" s="1"/>
  <c r="T10" i="32" s="1"/>
  <c r="AA10" i="32" s="1"/>
  <c r="Z146" i="30"/>
  <c r="T9" i="32" s="1"/>
  <c r="AA9" i="32" s="1"/>
  <c r="AG9" i="32" s="1"/>
  <c r="DL9" i="32" s="1"/>
  <c r="AF146" i="30"/>
  <c r="T146" i="30"/>
  <c r="AB146" i="30"/>
  <c r="X146" i="30"/>
  <c r="AD146" i="30"/>
  <c r="S173" i="30"/>
  <c r="S174" i="30"/>
  <c r="E166" i="30"/>
  <c r="F166" i="30" s="1"/>
  <c r="Q166" i="30" s="1"/>
  <c r="R166" i="30" s="1"/>
  <c r="K148" i="30"/>
  <c r="CB9" i="32"/>
  <c r="DK9" i="32" s="1"/>
  <c r="BY9" i="32"/>
  <c r="CA9" i="32"/>
  <c r="BX9" i="32"/>
  <c r="CA19" i="32"/>
  <c r="BX19" i="32"/>
  <c r="Y9" i="32"/>
  <c r="AE9" i="32" s="1"/>
  <c r="Y19" i="32"/>
  <c r="AE19" i="32" s="1"/>
  <c r="H148" i="30"/>
  <c r="N148" i="30" s="1"/>
  <c r="O148" i="30" s="1"/>
  <c r="R164" i="30"/>
  <c r="S164" i="30" s="1"/>
  <c r="P163" i="30"/>
  <c r="S163" i="30" s="1"/>
  <c r="J188" i="3"/>
  <c r="F89" i="3"/>
  <c r="G89" i="3" s="1"/>
  <c r="F92" i="3"/>
  <c r="G92" i="3" s="1"/>
  <c r="F93" i="3"/>
  <c r="G93" i="3" s="1"/>
  <c r="F90" i="3"/>
  <c r="G90" i="3" s="1"/>
  <c r="H149" i="30"/>
  <c r="L149" i="30"/>
  <c r="C167" i="30"/>
  <c r="B167" i="30"/>
  <c r="K149" i="30"/>
  <c r="I149" i="30"/>
  <c r="S12" i="32" s="1"/>
  <c r="Z12" i="32" s="1"/>
  <c r="AF12" i="32" s="1"/>
  <c r="C45" i="3"/>
  <c r="G45" i="3" s="1"/>
  <c r="O45" i="3" s="1"/>
  <c r="P45" i="3" s="1"/>
  <c r="AI11" i="32"/>
  <c r="AP11" i="32" s="1"/>
  <c r="AV11" i="32" s="1"/>
  <c r="H15" i="14"/>
  <c r="D126" i="30"/>
  <c r="E126" i="30"/>
  <c r="C34" i="2"/>
  <c r="C35" i="3"/>
  <c r="G35" i="3" s="1"/>
  <c r="O35" i="3" s="1"/>
  <c r="P35" i="3" s="1"/>
  <c r="AH10" i="32"/>
  <c r="AO10" i="32" s="1"/>
  <c r="AU10" i="32" s="1"/>
  <c r="R10" i="32"/>
  <c r="AI10" i="32"/>
  <c r="AP10" i="32" s="1"/>
  <c r="AV10" i="32" s="1"/>
  <c r="AF50" i="30"/>
  <c r="D86" i="3" s="1"/>
  <c r="AE50" i="30"/>
  <c r="AE53" i="30"/>
  <c r="AE51" i="30"/>
  <c r="D38" i="3" s="1"/>
  <c r="AX10" i="32"/>
  <c r="BE10" i="32" s="1"/>
  <c r="BK10" i="32" s="1"/>
  <c r="BN10" i="32"/>
  <c r="BU10" i="32" s="1"/>
  <c r="CD10" i="32"/>
  <c r="CK10" i="32" s="1"/>
  <c r="CQ10" i="32" s="1"/>
  <c r="B10" i="32"/>
  <c r="I10" i="32" s="1"/>
  <c r="O10" i="32" s="1"/>
  <c r="CT10" i="32"/>
  <c r="DA10" i="32" s="1"/>
  <c r="CU10" i="32"/>
  <c r="DB10" i="32" s="1"/>
  <c r="AY10" i="32"/>
  <c r="BF10" i="32" s="1"/>
  <c r="BL10" i="32" s="1"/>
  <c r="C10" i="32"/>
  <c r="J10" i="32" s="1"/>
  <c r="P10" i="32" s="1"/>
  <c r="CE10" i="32"/>
  <c r="CL10" i="32" s="1"/>
  <c r="CR10" i="32" s="1"/>
  <c r="BO10" i="32"/>
  <c r="BV10" i="32" s="1"/>
  <c r="Q165" i="30" l="1"/>
  <c r="AF147" i="30"/>
  <c r="AD147" i="30"/>
  <c r="V147" i="30"/>
  <c r="X147" i="30"/>
  <c r="T147" i="30"/>
  <c r="AB147" i="30"/>
  <c r="E167" i="30"/>
  <c r="F167" i="30" s="1"/>
  <c r="Q167" i="30" s="1"/>
  <c r="R167" i="30" s="1"/>
  <c r="R148" i="30"/>
  <c r="Z148" i="30" s="1"/>
  <c r="T11" i="32" s="1"/>
  <c r="DJ9" i="32"/>
  <c r="DJ19" i="32"/>
  <c r="P148" i="30"/>
  <c r="DH10" i="32"/>
  <c r="DG10" i="32"/>
  <c r="AG10" i="32"/>
  <c r="BX10" i="32"/>
  <c r="CA10" i="32"/>
  <c r="CB10" i="32"/>
  <c r="BY10" i="32"/>
  <c r="Y10" i="32"/>
  <c r="AE10" i="32" s="1"/>
  <c r="N149" i="30"/>
  <c r="O149" i="30" s="1"/>
  <c r="R165" i="30"/>
  <c r="S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O166" i="30"/>
  <c r="F34" i="2"/>
  <c r="C83" i="3"/>
  <c r="E83" i="3" s="1"/>
  <c r="F83" i="3" s="1"/>
  <c r="P149" i="30"/>
  <c r="H126" i="30"/>
  <c r="K126" i="30" s="1"/>
  <c r="C143" i="30" s="1"/>
  <c r="R149" i="30"/>
  <c r="R11" i="32"/>
  <c r="BO11" i="32"/>
  <c r="BV11" i="32" s="1"/>
  <c r="CU11" i="32"/>
  <c r="DB11" i="32" s="1"/>
  <c r="DH11" i="32" s="1"/>
  <c r="CE11" i="32"/>
  <c r="CL11" i="32" s="1"/>
  <c r="CR11" i="32" s="1"/>
  <c r="C11" i="32"/>
  <c r="J11" i="32" s="1"/>
  <c r="P11" i="32" s="1"/>
  <c r="AY11" i="32"/>
  <c r="BF11" i="32" s="1"/>
  <c r="BL11" i="32" s="1"/>
  <c r="G126" i="30"/>
  <c r="J126" i="30" s="1"/>
  <c r="B143" i="30" s="1"/>
  <c r="C35" i="2"/>
  <c r="E35" i="2" s="1"/>
  <c r="C36" i="3"/>
  <c r="G36" i="3" s="1"/>
  <c r="O36" i="3" s="1"/>
  <c r="P36" i="3" s="1"/>
  <c r="AI12" i="32"/>
  <c r="AP12" i="32" s="1"/>
  <c r="AV12" i="32" s="1"/>
  <c r="AD148" i="30" l="1"/>
  <c r="AF148" i="30"/>
  <c r="AB148" i="30"/>
  <c r="X148" i="30"/>
  <c r="T148" i="30"/>
  <c r="V148" i="30"/>
  <c r="DJ10" i="32"/>
  <c r="AA11" i="32"/>
  <c r="DK10" i="32"/>
  <c r="DL10" i="32"/>
  <c r="CB11" i="32"/>
  <c r="DK11" i="32" s="1"/>
  <c r="BY11" i="32"/>
  <c r="Y11" i="32"/>
  <c r="AE11" i="32" s="1"/>
  <c r="P166" i="30"/>
  <c r="S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O167" i="30"/>
  <c r="F35" i="2"/>
  <c r="C84" i="3"/>
  <c r="E84" i="3" s="1"/>
  <c r="F84" i="3" s="1"/>
  <c r="I143" i="30"/>
  <c r="C161" i="30"/>
  <c r="L143" i="30"/>
  <c r="AD149" i="30"/>
  <c r="V149" i="30"/>
  <c r="T149" i="30"/>
  <c r="AB149" i="30"/>
  <c r="Z149" i="30"/>
  <c r="T12" i="32" s="1"/>
  <c r="AA12" i="32" s="1"/>
  <c r="AG12" i="32" s="1"/>
  <c r="DL12" i="32" s="1"/>
  <c r="AF149" i="30"/>
  <c r="X149" i="30"/>
  <c r="B11" i="32"/>
  <c r="I11" i="32" s="1"/>
  <c r="O11" i="32" s="1"/>
  <c r="BN11" i="32"/>
  <c r="BU11" i="32" s="1"/>
  <c r="AH11" i="32"/>
  <c r="AO11" i="32" s="1"/>
  <c r="AU11" i="32" s="1"/>
  <c r="CT11" i="32"/>
  <c r="DA11" i="32" s="1"/>
  <c r="DG11" i="32" s="1"/>
  <c r="AX11" i="32"/>
  <c r="BE11" i="32" s="1"/>
  <c r="BK11" i="32" s="1"/>
  <c r="CD11" i="32"/>
  <c r="CK11" i="32" s="1"/>
  <c r="CQ11" i="32" s="1"/>
  <c r="C37" i="3"/>
  <c r="BN12" i="32"/>
  <c r="BU12" i="32" s="1"/>
  <c r="G83" i="3"/>
  <c r="B161" i="30"/>
  <c r="H143" i="30"/>
  <c r="K143" i="30"/>
  <c r="C12" i="32"/>
  <c r="CE12" i="32"/>
  <c r="CL12" i="32" s="1"/>
  <c r="CR12" i="32" s="1"/>
  <c r="AY12" i="32"/>
  <c r="BF12" i="32" s="1"/>
  <c r="BL12" i="32" s="1"/>
  <c r="CU12" i="32"/>
  <c r="DB12" i="32" s="1"/>
  <c r="DH12" i="32" s="1"/>
  <c r="BO12" i="32"/>
  <c r="BV12" i="32" s="1"/>
  <c r="N143" i="30" l="1"/>
  <c r="O143" i="30" s="1"/>
  <c r="E161" i="30"/>
  <c r="T20" i="32"/>
  <c r="E18" i="29" s="1"/>
  <c r="E24" i="29" s="1"/>
  <c r="AG11" i="32"/>
  <c r="AA21" i="32"/>
  <c r="AI6" i="32"/>
  <c r="AP6" i="32" s="1"/>
  <c r="AV6" i="32" s="1"/>
  <c r="S6" i="32"/>
  <c r="Z6" i="32" s="1"/>
  <c r="CB12" i="32"/>
  <c r="BY12" i="32"/>
  <c r="CA11" i="32"/>
  <c r="DJ11" i="32" s="1"/>
  <c r="BX11" i="32"/>
  <c r="CA12" i="32"/>
  <c r="BX12" i="32"/>
  <c r="P167" i="30"/>
  <c r="S167" i="30" s="1"/>
  <c r="J187" i="3"/>
  <c r="J186" i="3"/>
  <c r="J189" i="3"/>
  <c r="J190" i="3"/>
  <c r="H133" i="3"/>
  <c r="G133" i="3"/>
  <c r="B180" i="3"/>
  <c r="C180" i="3" s="1"/>
  <c r="H110" i="3"/>
  <c r="G110" i="3"/>
  <c r="AY6" i="32"/>
  <c r="BF6" i="32" s="1"/>
  <c r="BO6" i="32"/>
  <c r="BV6" i="32" s="1"/>
  <c r="CE6" i="32"/>
  <c r="CL6" i="32" s="1"/>
  <c r="C6" i="32"/>
  <c r="J6" i="32" s="1"/>
  <c r="P6" i="32" s="1"/>
  <c r="CU6" i="32"/>
  <c r="DB6" i="32" s="1"/>
  <c r="DH6" i="32" s="1"/>
  <c r="F161" i="30"/>
  <c r="O161" i="30" s="1"/>
  <c r="P161" i="30" s="1"/>
  <c r="C36" i="2"/>
  <c r="CT12" i="32"/>
  <c r="DA12" i="32" s="1"/>
  <c r="DG12" i="32" s="1"/>
  <c r="R12" i="32"/>
  <c r="AX12" i="32"/>
  <c r="BE12" i="32" s="1"/>
  <c r="B12" i="32"/>
  <c r="I12" i="32" s="1"/>
  <c r="O12" i="32" s="1"/>
  <c r="AH12" i="32"/>
  <c r="AO12" i="32" s="1"/>
  <c r="AU12" i="32" s="1"/>
  <c r="C38" i="3"/>
  <c r="G38" i="3" s="1"/>
  <c r="O38" i="3" s="1"/>
  <c r="P38" i="3" s="1"/>
  <c r="CD12" i="32"/>
  <c r="CK12" i="32" s="1"/>
  <c r="CQ12" i="32" s="1"/>
  <c r="J12" i="32"/>
  <c r="P12" i="32" s="1"/>
  <c r="CD6" i="32"/>
  <c r="CK6" i="32" s="1"/>
  <c r="P143" i="30"/>
  <c r="C32" i="3" s="1"/>
  <c r="G32" i="3" s="1"/>
  <c r="O32" i="3" s="1"/>
  <c r="P32" i="3" s="1"/>
  <c r="B6" i="32"/>
  <c r="I6" i="32" s="1"/>
  <c r="AX6" i="32"/>
  <c r="BE6" i="32" s="1"/>
  <c r="BK6" i="32" s="1"/>
  <c r="G84" i="3"/>
  <c r="CT6" i="32"/>
  <c r="DA6" i="32" s="1"/>
  <c r="DG6" i="32" s="1"/>
  <c r="R143" i="30"/>
  <c r="T143" i="30" s="1"/>
  <c r="BN6" i="32"/>
  <c r="BU6" i="32" s="1"/>
  <c r="R6" i="32"/>
  <c r="Y6" i="32" s="1"/>
  <c r="AH6" i="32"/>
  <c r="AO6" i="32" s="1"/>
  <c r="G37" i="3"/>
  <c r="O37" i="3" s="1"/>
  <c r="P37" i="3" s="1"/>
  <c r="DK12" i="32" l="1"/>
  <c r="DL11" i="32"/>
  <c r="DL21" i="32" s="1"/>
  <c r="AG21" i="32"/>
  <c r="E5" i="29" s="1"/>
  <c r="AF6" i="32"/>
  <c r="AF21" i="32" s="1"/>
  <c r="D5" i="29" s="1"/>
  <c r="Z21" i="32"/>
  <c r="CR6" i="32"/>
  <c r="CQ6" i="32"/>
  <c r="BY6" i="32"/>
  <c r="CB6" i="32"/>
  <c r="CA6" i="32"/>
  <c r="BX6" i="32"/>
  <c r="BL6" i="32"/>
  <c r="BK12" i="32"/>
  <c r="AU6" i="32"/>
  <c r="Y12" i="32"/>
  <c r="AE12" i="32" s="1"/>
  <c r="AE6" i="32"/>
  <c r="J133" i="3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Q161" i="30"/>
  <c r="C85" i="3"/>
  <c r="E85" i="3" s="1"/>
  <c r="F36" i="2"/>
  <c r="C37" i="2"/>
  <c r="O6" i="32"/>
  <c r="AB143" i="30"/>
  <c r="AD143" i="30"/>
  <c r="Z143" i="30"/>
  <c r="C31" i="2"/>
  <c r="V143" i="30"/>
  <c r="AF143" i="30"/>
  <c r="X143" i="30"/>
  <c r="AI13" i="32"/>
  <c r="AP13" i="32" s="1"/>
  <c r="AV13" i="32" s="1"/>
  <c r="CE13" i="32"/>
  <c r="CL13" i="32" s="1"/>
  <c r="CR13" i="32" s="1"/>
  <c r="BO13" i="32"/>
  <c r="BV13" i="32" s="1"/>
  <c r="AY13" i="32"/>
  <c r="BF13" i="32" s="1"/>
  <c r="BL13" i="32" s="1"/>
  <c r="CU13" i="32"/>
  <c r="DB13" i="32" s="1"/>
  <c r="DH13" i="32" s="1"/>
  <c r="C13" i="32"/>
  <c r="AH13" i="32"/>
  <c r="AO13" i="32" s="1"/>
  <c r="AU13" i="32" s="1"/>
  <c r="AX13" i="32"/>
  <c r="BE13" i="32" s="1"/>
  <c r="BK13" i="32" s="1"/>
  <c r="R13" i="32"/>
  <c r="CT13" i="32"/>
  <c r="DA13" i="32" s="1"/>
  <c r="DG13" i="32" s="1"/>
  <c r="CD13" i="32"/>
  <c r="CK13" i="32" s="1"/>
  <c r="CQ13" i="32" s="1"/>
  <c r="B13" i="32"/>
  <c r="BN13" i="32"/>
  <c r="BU13" i="32" s="1"/>
  <c r="DJ6" i="32" l="1"/>
  <c r="DJ12" i="32"/>
  <c r="DK6" i="32"/>
  <c r="CB13" i="32"/>
  <c r="BY13" i="32"/>
  <c r="CA13" i="32"/>
  <c r="BX13" i="32"/>
  <c r="Y13" i="32"/>
  <c r="AE13" i="32" s="1"/>
  <c r="R161" i="30"/>
  <c r="S161" i="30" s="1"/>
  <c r="J180" i="3"/>
  <c r="J111" i="3"/>
  <c r="J134" i="3"/>
  <c r="M134" i="3" s="1"/>
  <c r="F31" i="2"/>
  <c r="G181" i="3"/>
  <c r="F181" i="3"/>
  <c r="D181" i="3"/>
  <c r="H181" i="3" s="1"/>
  <c r="E181" i="3"/>
  <c r="I181" i="3" s="1"/>
  <c r="F85" i="3"/>
  <c r="G85" i="3" s="1"/>
  <c r="F37" i="2"/>
  <c r="C86" i="3"/>
  <c r="E86" i="3" s="1"/>
  <c r="J13" i="32"/>
  <c r="P13" i="32" s="1"/>
  <c r="I13" i="32"/>
  <c r="O13" i="32" s="1"/>
  <c r="C80" i="3"/>
  <c r="E80" i="3" s="1"/>
  <c r="F80" i="3" s="1"/>
  <c r="C9" i="34"/>
  <c r="E9" i="34" s="1"/>
  <c r="C39" i="3"/>
  <c r="E73" i="41"/>
  <c r="DJ13" i="32" l="1"/>
  <c r="DK13" i="32"/>
  <c r="J181" i="3"/>
  <c r="G135" i="3"/>
  <c r="H135" i="3"/>
  <c r="B182" i="3"/>
  <c r="C182" i="3" s="1"/>
  <c r="G112" i="3"/>
  <c r="H112" i="3"/>
  <c r="F86" i="3"/>
  <c r="G86" i="3" s="1"/>
  <c r="D9" i="34"/>
  <c r="F9" i="34" s="1"/>
  <c r="G80" i="3"/>
  <c r="G39" i="3"/>
  <c r="O39" i="3" s="1"/>
  <c r="P39" i="3" s="1"/>
  <c r="E87" i="3"/>
  <c r="F87" i="3" s="1"/>
  <c r="AH7" i="32"/>
  <c r="AO7" i="32" s="1"/>
  <c r="R7" i="32"/>
  <c r="Y7" i="32" s="1"/>
  <c r="CD7" i="32"/>
  <c r="CK7" i="32" s="1"/>
  <c r="AX7" i="32"/>
  <c r="BE7" i="32" s="1"/>
  <c r="BN7" i="32"/>
  <c r="BU7" i="32" s="1"/>
  <c r="CT7" i="32"/>
  <c r="DA7" i="32" s="1"/>
  <c r="DG7" i="32" s="1"/>
  <c r="AI7" i="32"/>
  <c r="AP7" i="32" s="1"/>
  <c r="CE7" i="32"/>
  <c r="CL7" i="32" s="1"/>
  <c r="AY7" i="32"/>
  <c r="BF7" i="32" s="1"/>
  <c r="CU7" i="32"/>
  <c r="DB7" i="32" s="1"/>
  <c r="DH7" i="32" s="1"/>
  <c r="C7" i="32"/>
  <c r="BO7" i="32"/>
  <c r="BV7" i="32" s="1"/>
  <c r="CR7" i="32" l="1"/>
  <c r="CQ7" i="32"/>
  <c r="BX7" i="32"/>
  <c r="CA7" i="32"/>
  <c r="BY7" i="32"/>
  <c r="CB7" i="32"/>
  <c r="BL7" i="32"/>
  <c r="BK7" i="32"/>
  <c r="AV7" i="32"/>
  <c r="AU7" i="32"/>
  <c r="AE7" i="32"/>
  <c r="J112" i="3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I7" i="32"/>
  <c r="C32" i="2"/>
  <c r="E32" i="2" s="1"/>
  <c r="C33" i="3"/>
  <c r="G33" i="3" s="1"/>
  <c r="O33" i="3" s="1"/>
  <c r="P33" i="3" s="1"/>
  <c r="J7" i="32"/>
  <c r="P7" i="32" s="1"/>
  <c r="DK7" i="32" l="1"/>
  <c r="J130" i="3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F32" i="2"/>
  <c r="C81" i="3"/>
  <c r="E81" i="3" s="1"/>
  <c r="F81" i="3" s="1"/>
  <c r="J107" i="3"/>
  <c r="G177" i="3"/>
  <c r="F177" i="3"/>
  <c r="E177" i="3"/>
  <c r="I177" i="3" s="1"/>
  <c r="O7" i="32"/>
  <c r="DJ7" i="32" s="1"/>
  <c r="AI14" i="32"/>
  <c r="AP14" i="32" s="1"/>
  <c r="AV14" i="32" s="1"/>
  <c r="CE14" i="32"/>
  <c r="CL14" i="32" s="1"/>
  <c r="CR14" i="32" s="1"/>
  <c r="BO14" i="32"/>
  <c r="BV14" i="32" s="1"/>
  <c r="CU14" i="32"/>
  <c r="DB14" i="32" s="1"/>
  <c r="DH14" i="32" s="1"/>
  <c r="AY14" i="32"/>
  <c r="BF14" i="32" s="1"/>
  <c r="BL14" i="32" s="1"/>
  <c r="C14" i="32"/>
  <c r="AH14" i="32"/>
  <c r="AO14" i="32" s="1"/>
  <c r="AU14" i="32" s="1"/>
  <c r="B14" i="32"/>
  <c r="CT14" i="32"/>
  <c r="DA14" i="32" s="1"/>
  <c r="DG14" i="32" s="1"/>
  <c r="BN14" i="32"/>
  <c r="BU14" i="32" s="1"/>
  <c r="R14" i="32"/>
  <c r="CD14" i="32"/>
  <c r="CK14" i="32" s="1"/>
  <c r="CQ14" i="32" s="1"/>
  <c r="AX14" i="32"/>
  <c r="BE14" i="32" s="1"/>
  <c r="BK14" i="32" s="1"/>
  <c r="BY14" i="32" l="1"/>
  <c r="CB14" i="32"/>
  <c r="CA14" i="32"/>
  <c r="BX14" i="32"/>
  <c r="Y14" i="32"/>
  <c r="AE14" i="32" s="1"/>
  <c r="J137" i="3"/>
  <c r="M137" i="3" s="1"/>
  <c r="J183" i="3"/>
  <c r="D184" i="3"/>
  <c r="H184" i="3" s="1"/>
  <c r="G184" i="3"/>
  <c r="F184" i="3"/>
  <c r="E184" i="3"/>
  <c r="I184" i="3" s="1"/>
  <c r="J114" i="3"/>
  <c r="J177" i="3"/>
  <c r="J14" i="32"/>
  <c r="P14" i="32" s="1"/>
  <c r="I14" i="32"/>
  <c r="O14" i="32" s="1"/>
  <c r="G81" i="3"/>
  <c r="C10" i="34"/>
  <c r="E10" i="34" s="1"/>
  <c r="E88" i="3"/>
  <c r="F88" i="3" s="1"/>
  <c r="DK14" i="32" l="1"/>
  <c r="DJ14" i="32"/>
  <c r="J184" i="3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AI8" i="32"/>
  <c r="CU8" i="32"/>
  <c r="C8" i="32"/>
  <c r="C20" i="32" s="1"/>
  <c r="D17" i="29" s="1"/>
  <c r="S20" i="32"/>
  <c r="D18" i="29" s="1"/>
  <c r="BO8" i="32"/>
  <c r="AY8" i="32"/>
  <c r="CE8" i="32"/>
  <c r="AH8" i="32"/>
  <c r="R8" i="32"/>
  <c r="Y8" i="32" s="1"/>
  <c r="B8" i="32"/>
  <c r="B20" i="32" s="1"/>
  <c r="CD8" i="32"/>
  <c r="CT8" i="32"/>
  <c r="O157" i="30"/>
  <c r="R157" i="30"/>
  <c r="AX8" i="32"/>
  <c r="BN8" i="32"/>
  <c r="CU20" i="32" l="1"/>
  <c r="D23" i="29" s="1"/>
  <c r="DB8" i="32"/>
  <c r="CT20" i="32"/>
  <c r="C23" i="29" s="1"/>
  <c r="DA8" i="32"/>
  <c r="CD20" i="32"/>
  <c r="C22" i="29" s="1"/>
  <c r="CK8" i="32"/>
  <c r="CE20" i="32"/>
  <c r="D22" i="29" s="1"/>
  <c r="CL8" i="32"/>
  <c r="BN20" i="32"/>
  <c r="BU8" i="32"/>
  <c r="BO20" i="32"/>
  <c r="D21" i="29" s="1"/>
  <c r="BV8" i="32"/>
  <c r="AX20" i="32"/>
  <c r="C20" i="29" s="1"/>
  <c r="BE8" i="32"/>
  <c r="AY20" i="32"/>
  <c r="D20" i="29" s="1"/>
  <c r="BF8" i="32"/>
  <c r="AI20" i="32"/>
  <c r="D19" i="29" s="1"/>
  <c r="AP8" i="32"/>
  <c r="AH20" i="32"/>
  <c r="C19" i="29" s="1"/>
  <c r="AO8" i="32"/>
  <c r="R20" i="32"/>
  <c r="C18" i="29" s="1"/>
  <c r="F18" i="29" s="1"/>
  <c r="D178" i="3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F175" i="30"/>
  <c r="B20" i="20" s="1"/>
  <c r="M130" i="3"/>
  <c r="C8" i="34"/>
  <c r="O175" i="30"/>
  <c r="I8" i="32"/>
  <c r="I21" i="32" s="1"/>
  <c r="C17" i="29"/>
  <c r="F17" i="29" s="1"/>
  <c r="C33" i="2"/>
  <c r="C34" i="3"/>
  <c r="C21" i="29"/>
  <c r="J8" i="32"/>
  <c r="F21" i="29" l="1"/>
  <c r="F22" i="29"/>
  <c r="DG8" i="32"/>
  <c r="DG21" i="32" s="1"/>
  <c r="DA21" i="32"/>
  <c r="F19" i="29"/>
  <c r="F23" i="29"/>
  <c r="DH8" i="32"/>
  <c r="DH21" i="32" s="1"/>
  <c r="D10" i="29" s="1"/>
  <c r="DB21" i="32"/>
  <c r="F20" i="29"/>
  <c r="D24" i="29"/>
  <c r="CR8" i="32"/>
  <c r="CR21" i="32" s="1"/>
  <c r="D9" i="29" s="1"/>
  <c r="CL21" i="32"/>
  <c r="CQ8" i="32"/>
  <c r="CQ21" i="32" s="1"/>
  <c r="CK21" i="32"/>
  <c r="CB8" i="32"/>
  <c r="CB21" i="32" s="1"/>
  <c r="D8" i="29" s="1"/>
  <c r="BY8" i="32"/>
  <c r="BY21" i="32" s="1"/>
  <c r="BV21" i="32"/>
  <c r="BX8" i="32"/>
  <c r="BX21" i="32" s="1"/>
  <c r="CA8" i="32"/>
  <c r="CA21" i="32" s="1"/>
  <c r="C8" i="29" s="1"/>
  <c r="BU21" i="32"/>
  <c r="BL8" i="32"/>
  <c r="BL21" i="32" s="1"/>
  <c r="D7" i="29" s="1"/>
  <c r="BF21" i="32"/>
  <c r="BK8" i="32"/>
  <c r="BK21" i="32" s="1"/>
  <c r="C7" i="29" s="1"/>
  <c r="BE21" i="32"/>
  <c r="AU8" i="32"/>
  <c r="AU21" i="32" s="1"/>
  <c r="AO21" i="32"/>
  <c r="AV8" i="32"/>
  <c r="AV21" i="32" s="1"/>
  <c r="D6" i="29" s="1"/>
  <c r="AP21" i="32"/>
  <c r="AE8" i="32"/>
  <c r="AE21" i="32" s="1"/>
  <c r="Y21" i="32"/>
  <c r="J21" i="32"/>
  <c r="P8" i="32"/>
  <c r="D185" i="3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C82" i="3"/>
  <c r="E82" i="3" s="1"/>
  <c r="F82" i="3" s="1"/>
  <c r="R175" i="30"/>
  <c r="I14" i="17" s="1"/>
  <c r="Q175" i="30"/>
  <c r="P175" i="30"/>
  <c r="D8" i="34"/>
  <c r="F8" i="34" s="1"/>
  <c r="F18" i="34" s="1"/>
  <c r="E8" i="34"/>
  <c r="E18" i="34" s="1"/>
  <c r="D169" i="1"/>
  <c r="D170" i="1"/>
  <c r="Q21" i="32"/>
  <c r="E4" i="29" s="1"/>
  <c r="E11" i="29" s="1"/>
  <c r="E78" i="14"/>
  <c r="H78" i="14" s="1"/>
  <c r="K78" i="14" s="1"/>
  <c r="G34" i="3"/>
  <c r="O34" i="3" s="1"/>
  <c r="P34" i="3" s="1"/>
  <c r="P46" i="3" s="1"/>
  <c r="C24" i="29"/>
  <c r="O8" i="32"/>
  <c r="E19" i="34"/>
  <c r="F8" i="29" l="1"/>
  <c r="H8" i="29" s="1"/>
  <c r="DJ8" i="32"/>
  <c r="DJ21" i="32" s="1"/>
  <c r="P21" i="32"/>
  <c r="D4" i="29" s="1"/>
  <c r="D11" i="29" s="1"/>
  <c r="DK8" i="32"/>
  <c r="DK21" i="32" s="1"/>
  <c r="E78" i="41"/>
  <c r="C10" i="29"/>
  <c r="F10" i="29" s="1"/>
  <c r="E77" i="41"/>
  <c r="C9" i="29"/>
  <c r="F9" i="29" s="1"/>
  <c r="F7" i="29"/>
  <c r="J185" i="3"/>
  <c r="E74" i="41"/>
  <c r="C5" i="29"/>
  <c r="F5" i="29" s="1"/>
  <c r="H5" i="29" s="1"/>
  <c r="O21" i="32"/>
  <c r="C4" i="29" s="1"/>
  <c r="C6" i="29"/>
  <c r="F6" i="29" s="1"/>
  <c r="I11" i="17"/>
  <c r="I15" i="17"/>
  <c r="I9" i="17"/>
  <c r="I13" i="17"/>
  <c r="I10" i="17"/>
  <c r="S175" i="30"/>
  <c r="I12" i="17"/>
  <c r="G82" i="3"/>
  <c r="C3" i="35"/>
  <c r="D44" i="41" s="1"/>
  <c r="C202" i="1" s="1"/>
  <c r="C172" i="1"/>
  <c r="D172" i="1"/>
  <c r="D168" i="1"/>
  <c r="D171" i="1"/>
  <c r="E76" i="41"/>
  <c r="E75" i="41"/>
  <c r="D167" i="1"/>
  <c r="F24" i="29"/>
  <c r="F25" i="29" s="1"/>
  <c r="AV14" i="17"/>
  <c r="F4" i="29" l="1"/>
  <c r="H4" i="29" s="1"/>
  <c r="G132" i="3"/>
  <c r="H132" i="3"/>
  <c r="B179" i="3"/>
  <c r="C179" i="3" s="1"/>
  <c r="C191" i="3" s="1"/>
  <c r="H109" i="3"/>
  <c r="G109" i="3"/>
  <c r="C24" i="11"/>
  <c r="H6" i="29"/>
  <c r="H10" i="29"/>
  <c r="H9" i="29"/>
  <c r="C168" i="1"/>
  <c r="C169" i="1"/>
  <c r="C171" i="1"/>
  <c r="C170" i="1"/>
  <c r="C23" i="11"/>
  <c r="K23" i="11" s="1"/>
  <c r="C22" i="11"/>
  <c r="E79" i="41"/>
  <c r="C11" i="29"/>
  <c r="C163" i="1"/>
  <c r="C159" i="1"/>
  <c r="C160" i="1"/>
  <c r="C157" i="1"/>
  <c r="C161" i="1"/>
  <c r="C162" i="1"/>
  <c r="C158" i="1"/>
  <c r="G179" i="3" l="1"/>
  <c r="F179" i="3"/>
  <c r="E179" i="3"/>
  <c r="I179" i="3" s="1"/>
  <c r="I191" i="3" s="1"/>
  <c r="D179" i="3"/>
  <c r="J132" i="3"/>
  <c r="J109" i="3"/>
  <c r="N24" i="11"/>
  <c r="Q24" i="11" s="1"/>
  <c r="R24" i="11" s="1"/>
  <c r="K24" i="11"/>
  <c r="K162" i="1"/>
  <c r="C209" i="1"/>
  <c r="C25" i="11"/>
  <c r="C34" i="14"/>
  <c r="F34" i="14" s="1"/>
  <c r="K159" i="1"/>
  <c r="I8" i="18"/>
  <c r="BI13" i="17" s="1"/>
  <c r="K161" i="1"/>
  <c r="D12" i="17"/>
  <c r="K160" i="1"/>
  <c r="K163" i="1"/>
  <c r="E19" i="16"/>
  <c r="K158" i="1"/>
  <c r="C27" i="11"/>
  <c r="E24" i="16"/>
  <c r="C211" i="1"/>
  <c r="I10" i="18"/>
  <c r="BI15" i="17" s="1"/>
  <c r="C33" i="14"/>
  <c r="F33" i="14" s="1"/>
  <c r="E21" i="16"/>
  <c r="D15" i="17"/>
  <c r="U15" i="17" s="1"/>
  <c r="C206" i="1"/>
  <c r="C38" i="14"/>
  <c r="F38" i="14" s="1"/>
  <c r="D73" i="41"/>
  <c r="I5" i="18"/>
  <c r="BI10" i="17" s="1"/>
  <c r="D75" i="41"/>
  <c r="C208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07" i="1"/>
  <c r="D11" i="17"/>
  <c r="BS11" i="17" s="1"/>
  <c r="C36" i="14"/>
  <c r="F36" i="14" s="1"/>
  <c r="D74" i="41"/>
  <c r="D13" i="17"/>
  <c r="BY13" i="17" s="1"/>
  <c r="C26" i="11"/>
  <c r="D77" i="41"/>
  <c r="C210" i="1"/>
  <c r="D14" i="17"/>
  <c r="E23" i="16"/>
  <c r="C37" i="14"/>
  <c r="F37" i="14" s="1"/>
  <c r="I9" i="18"/>
  <c r="BI14" i="17" s="1"/>
  <c r="B191" i="3"/>
  <c r="C167" i="1"/>
  <c r="N23" i="11"/>
  <c r="Q23" i="11" s="1"/>
  <c r="R23" i="11" s="1"/>
  <c r="E18" i="16"/>
  <c r="C205" i="1"/>
  <c r="I4" i="18"/>
  <c r="D72" i="41"/>
  <c r="C32" i="14"/>
  <c r="F32" i="14" s="1"/>
  <c r="D9" i="17"/>
  <c r="AO9" i="17" s="1"/>
  <c r="F11" i="29"/>
  <c r="K5" i="7" s="1"/>
  <c r="K22" i="11"/>
  <c r="N22" i="11"/>
  <c r="Q22" i="11" s="1"/>
  <c r="AV15" i="17"/>
  <c r="AV11" i="17"/>
  <c r="AV12" i="17"/>
  <c r="AV10" i="17"/>
  <c r="AP15" i="17"/>
  <c r="AI11" i="17"/>
  <c r="AM12" i="17"/>
  <c r="AM9" i="17"/>
  <c r="AI14" i="17"/>
  <c r="AV13" i="17"/>
  <c r="AP13" i="17"/>
  <c r="AM14" i="17"/>
  <c r="AI12" i="17"/>
  <c r="AI9" i="17"/>
  <c r="AM11" i="17"/>
  <c r="AO12" i="17"/>
  <c r="AI10" i="17"/>
  <c r="AI15" i="17"/>
  <c r="AM13" i="17"/>
  <c r="AI13" i="17"/>
  <c r="AV9" i="17"/>
  <c r="AM10" i="17"/>
  <c r="AP12" i="17"/>
  <c r="AM15" i="17"/>
  <c r="AP9" i="17"/>
  <c r="AP11" i="17"/>
  <c r="AP10" i="17"/>
  <c r="AP14" i="17"/>
  <c r="B5" i="39" l="1"/>
  <c r="B7" i="39" s="1"/>
  <c r="B8" i="39" s="1"/>
  <c r="B9" i="39" s="1"/>
  <c r="B3" i="44"/>
  <c r="D3" i="44" s="1"/>
  <c r="K3" i="44" s="1"/>
  <c r="D201" i="3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H11" i="29"/>
  <c r="BS15" i="17"/>
  <c r="AS15" i="17"/>
  <c r="BX15" i="17"/>
  <c r="S15" i="17"/>
  <c r="U10" i="17"/>
  <c r="BY15" i="17"/>
  <c r="BS10" i="17"/>
  <c r="BX10" i="17"/>
  <c r="BY10" i="17"/>
  <c r="AS10" i="17"/>
  <c r="U11" i="17"/>
  <c r="K4" i="29"/>
  <c r="K8" i="29"/>
  <c r="AS11" i="17"/>
  <c r="K7" i="29"/>
  <c r="K10" i="29"/>
  <c r="K6" i="29"/>
  <c r="L5" i="29"/>
  <c r="K5" i="29"/>
  <c r="L4" i="29"/>
  <c r="L6" i="29"/>
  <c r="S11" i="17"/>
  <c r="E10" i="11"/>
  <c r="H10" i="11" s="1"/>
  <c r="H13" i="11" s="1"/>
  <c r="L10" i="29"/>
  <c r="K9" i="29"/>
  <c r="BX11" i="17"/>
  <c r="U13" i="17"/>
  <c r="AS13" i="17"/>
  <c r="BX13" i="17"/>
  <c r="BZ13" i="17" s="1"/>
  <c r="E26" i="16"/>
  <c r="C11" i="16" s="1"/>
  <c r="M11" i="16" s="1"/>
  <c r="AV16" i="17"/>
  <c r="D79" i="41"/>
  <c r="L9" i="29"/>
  <c r="L7" i="29"/>
  <c r="L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F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F5" i="39"/>
  <c r="F7" i="39" s="1"/>
  <c r="F8" i="39" s="1"/>
  <c r="F9" i="39" s="1"/>
  <c r="L5" i="7"/>
  <c r="E5" i="39"/>
  <c r="E7" i="39" s="1"/>
  <c r="E8" i="39" s="1"/>
  <c r="E9" i="39" s="1"/>
  <c r="H5" i="39"/>
  <c r="H7" i="39" s="1"/>
  <c r="H8" i="39" s="1"/>
  <c r="H9" i="39" s="1"/>
  <c r="D5" i="39"/>
  <c r="D7" i="39" s="1"/>
  <c r="D8" i="39" s="1"/>
  <c r="D9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AO15" i="17"/>
  <c r="AO13" i="17"/>
  <c r="AO11" i="17"/>
  <c r="AO10" i="17"/>
  <c r="AO14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Q30" i="11" s="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R30" i="11" s="1"/>
  <c r="D11" i="39"/>
  <c r="C12" i="37" s="1"/>
  <c r="E53" i="41" s="1"/>
  <c r="B12" i="37"/>
  <c r="D53" i="41" s="1"/>
  <c r="B14" i="37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87" i="1"/>
  <c r="G13" i="41"/>
  <c r="G12" i="41"/>
  <c r="G38" i="41"/>
  <c r="J6" i="41"/>
  <c r="G33" i="41"/>
  <c r="G10" i="41"/>
  <c r="C201" i="1"/>
  <c r="G39" i="41"/>
  <c r="G34" i="41"/>
  <c r="G11" i="41"/>
  <c r="G9" i="41"/>
  <c r="E11" i="39"/>
  <c r="C13" i="37" s="1"/>
  <c r="E54" i="41" s="1"/>
  <c r="B13" i="37"/>
  <c r="D54" i="41" s="1"/>
  <c r="B11" i="37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0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M9" i="7" s="1"/>
  <c r="F9" i="7"/>
  <c r="P3" i="44"/>
  <c r="O3" i="44"/>
  <c r="N9" i="44"/>
  <c r="Q31" i="11" s="1"/>
  <c r="Q33" i="11" s="1"/>
  <c r="K19" i="10"/>
  <c r="C186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199" i="1"/>
  <c r="J31" i="41"/>
  <c r="K31" i="41"/>
  <c r="K29" i="41"/>
  <c r="J29" i="41"/>
  <c r="C197" i="1" s="1"/>
  <c r="J30" i="41"/>
  <c r="C198" i="1"/>
  <c r="K30" i="41"/>
  <c r="C17" i="37"/>
  <c r="E58" i="41" s="1"/>
  <c r="BC11" i="17"/>
  <c r="AZ14" i="17"/>
  <c r="BG12" i="17"/>
  <c r="BG14" i="17"/>
  <c r="AZ13" i="17"/>
  <c r="AZ11" i="17"/>
  <c r="BG11" i="17"/>
  <c r="BG13" i="17"/>
  <c r="AZ9" i="17"/>
  <c r="BC15" i="17"/>
  <c r="AX9" i="17"/>
  <c r="BC13" i="17"/>
  <c r="AZ15" i="17"/>
  <c r="BC12" i="17"/>
  <c r="AX11" i="17"/>
  <c r="BG15" i="17"/>
  <c r="BG9" i="17"/>
  <c r="BC9" i="17"/>
  <c r="AX13" i="17"/>
  <c r="AZ12" i="17"/>
  <c r="BC14" i="17"/>
  <c r="AX14" i="17"/>
  <c r="AX12" i="17"/>
  <c r="BG10" i="17"/>
  <c r="AX10" i="17"/>
  <c r="AX15" i="17"/>
  <c r="BC10" i="17"/>
  <c r="AZ10" i="17"/>
  <c r="N5" i="7" l="1"/>
  <c r="D30" i="7"/>
  <c r="D37" i="7" s="1"/>
  <c r="D42" i="7" s="1"/>
  <c r="L16" i="7"/>
  <c r="Q3" i="44"/>
  <c r="O9" i="44"/>
  <c r="R31" i="11" s="1"/>
  <c r="R33" i="11" s="1"/>
  <c r="R3" i="44"/>
  <c r="R9" i="44" s="1"/>
  <c r="P9" i="44"/>
  <c r="G50" i="10" s="1"/>
  <c r="G53" i="10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31" i="41" l="1"/>
  <c r="G30" i="41" s="1"/>
  <c r="C196" i="1" s="1"/>
  <c r="D43" i="7"/>
  <c r="F13" i="7"/>
  <c r="E16" i="7"/>
  <c r="G13" i="7" s="1"/>
  <c r="S3" i="44"/>
  <c r="S9" i="44" s="1"/>
  <c r="Q9" i="44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BW9" i="17" l="1"/>
  <c r="J34" i="4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4" i="1" s="1"/>
  <c r="K25" i="41"/>
  <c r="G24" i="41"/>
  <c r="C195" i="1" s="1"/>
  <c r="K24" i="41"/>
  <c r="J25" i="41"/>
  <c r="C193" i="1" s="1"/>
  <c r="C191" i="1"/>
  <c r="J24" i="41"/>
  <c r="D2" i="19" l="1"/>
  <c r="D18" i="41" s="1"/>
  <c r="K37" i="41"/>
  <c r="C184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2" i="1"/>
  <c r="J37" i="41"/>
  <c r="C185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2" i="1"/>
  <c r="G16" i="41"/>
  <c r="C183" i="1" s="1"/>
  <c r="J16" i="41"/>
  <c r="D46" i="34" l="1"/>
  <c r="D162" i="1"/>
  <c r="C46" i="34" l="1"/>
  <c r="B46" i="34"/>
  <c r="D45" i="34"/>
  <c r="D43" i="34"/>
  <c r="D42" i="34"/>
  <c r="D44" i="34"/>
  <c r="D160" i="1"/>
  <c r="D158" i="1"/>
  <c r="D159" i="1"/>
  <c r="D161" i="1"/>
  <c r="B42" i="34" l="1"/>
  <c r="B44" i="34"/>
  <c r="B43" i="34"/>
  <c r="B45" i="34"/>
  <c r="F46" i="34"/>
  <c r="C45" i="34"/>
  <c r="C43" i="34"/>
  <c r="C42" i="34"/>
  <c r="C44" i="34"/>
  <c r="D41" i="34"/>
  <c r="D157" i="1"/>
  <c r="F42" i="34" l="1"/>
  <c r="K157" i="1"/>
  <c r="F44" i="34"/>
  <c r="F43" i="34"/>
  <c r="F45" i="34"/>
  <c r="B41" i="34"/>
  <c r="C41" i="34"/>
  <c r="B173" i="1"/>
  <c r="G173" i="1" s="1"/>
  <c r="F173" i="1" l="1"/>
  <c r="H173" i="1"/>
  <c r="E173" i="1"/>
  <c r="F41" i="34"/>
  <c r="K165" i="1"/>
  <c r="D45" i="41" s="1"/>
  <c r="A47" i="34"/>
  <c r="D173" i="1"/>
  <c r="C173" i="1"/>
  <c r="D163" i="1"/>
  <c r="G45" i="41" l="1"/>
  <c r="C203" i="1"/>
  <c r="C204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<sst xmlns="http://schemas.openxmlformats.org/spreadsheetml/2006/main" count="3928" uniqueCount="1869">
  <si>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</si>
  <si>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</si>
  <si>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</si>
  <si>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</si>
  <si>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</si>
  <si>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</si>
  <si>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</si>
  <si>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</si>
  <si>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</si>
  <si>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</si>
  <si>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</si>
  <si>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</si>
  <si>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</si>
  <si>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</si>
  <si>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</si>
  <si>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</si>
  <si>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</si>
  <si>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</si>
  <si>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</si>
  <si>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</si>
  <si>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</si>
  <si>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</si>
  <si>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</si>
  <si>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</si>
  <si>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</si>
  <si>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</si>
  <si>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</si>
  <si>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</si>
  <si>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</si>
  <si>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</si>
  <si>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</si>
  <si>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</si>
  <si>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</si>
  <si>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</si>
  <si>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</si>
  <si>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</si>
  <si>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</si>
  <si>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</si>
  <si>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</si>
  <si>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</si>
  <si>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</si>
  <si>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</si>
  <si>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</si>
  <si>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</si>
  <si>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</si>
  <si>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</si>
  <si>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</si>
  <si>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</si>
  <si>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</si>
  <si>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</si>
  <si>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</si>
  <si>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</si>
  <si>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</si>
  <si>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</si>
  <si>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</si>
  <si>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</si>
  <si>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</si>
  <si>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</si>
  <si>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</si>
  <si>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</si>
  <si>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</si>
  <si>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</si>
  <si>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</si>
  <si>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</si>
  <si>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</si>
  <si>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</si>
  <si>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</si>
  <si>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</si>
  <si>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</si>
  <si>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</si>
  <si>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</si>
  <si>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</si>
  <si>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</si>
  <si>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</si>
  <si>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</si>
  <si>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</si>
  <si>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</si>
  <si>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</si>
  <si>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</si>
  <si>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</si>
  <si>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</si>
  <si>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</si>
  <si>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</si>
  <si>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</si>
  <si>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</si>
  <si>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</si>
  <si>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</si>
  <si>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</si>
  <si>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</si>
  <si>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</si>
  <si>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</si>
  <si>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</si>
  <si>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</si>
  <si>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</si>
  <si>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</si>
  <si>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</si>
  <si>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</si>
  <si>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</si>
  <si>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</si>
  <si>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</si>
  <si>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</si>
  <si>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</si>
  <si>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</si>
  <si>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</si>
  <si>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</si>
  <si>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</si>
  <si>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</si>
  <si>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</si>
  <si>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</si>
  <si>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</si>
  <si>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</si>
  <si>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</si>
  <si>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</si>
  <si>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</si>
  <si>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</si>
  <si>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</si>
  <si>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</si>
  <si>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</si>
  <si>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</si>
  <si>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</si>
  <si>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</si>
  <si>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</si>
  <si>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</si>
  <si>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</si>
  <si>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</si>
  <si>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</si>
  <si>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</si>
  <si>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</si>
  <si>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</si>
  <si>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</si>
  <si>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</si>
  <si>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</si>
  <si>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</si>
  <si>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</si>
  <si>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</si>
  <si>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</si>
  <si>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</si>
  <si>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</si>
  <si>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</si>
  <si>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</si>
  <si>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</si>
  <si>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</si>
  <si>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</si>
  <si>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</si>
  <si>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</si>
  <si>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</si>
  <si>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</si>
  <si>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</si>
  <si>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</si>
  <si>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</si>
  <si>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</si>
  <si>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</si>
  <si>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</si>
  <si>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</si>
  <si>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</si>
  <si>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</si>
  <si>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</si>
  <si>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</si>
  <si>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</si>
  <si>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</si>
  <si>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</si>
  <si>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</si>
  <si>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</si>
  <si>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</si>
  <si>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</si>
  <si>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</si>
  <si>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</si>
  <si>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</si>
  <si>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</si>
  <si>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</si>
  <si>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</si>
  <si>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</si>
  <si>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</si>
  <si>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</si>
  <si>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</si>
  <si>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</si>
  <si>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</si>
  <si>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</si>
  <si>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</si>
  <si>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</si>
  <si>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</si>
  <si>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</si>
  <si>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</si>
  <si>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</si>
  <si>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</si>
  <si>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</si>
  <si>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</si>
  <si>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</si>
  <si>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</si>
  <si>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</si>
  <si>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</si>
  <si>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</si>
  <si>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</si>
  <si>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</si>
  <si>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</si>
  <si>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</si>
  <si>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</si>
  <si>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</si>
  <si>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</si>
  <si>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</si>
  <si>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</si>
  <si>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</si>
  <si>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</si>
  <si>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</si>
  <si>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</si>
  <si>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</si>
  <si>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</si>
  <si>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</si>
  <si>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</si>
  <si>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</si>
  <si>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</si>
  <si>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</si>
  <si>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</si>
  <si>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</si>
  <si>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</si>
  <si>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</si>
  <si>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</si>
  <si>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</si>
  <si>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</si>
  <si>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</si>
  <si>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</si>
  <si>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</si>
  <si>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</si>
  <si>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</si>
  <si>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</si>
  <si>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</si>
  <si>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</si>
  <si>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</si>
  <si>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</si>
  <si>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</si>
  <si>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</si>
  <si>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</si>
  <si>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</si>
  <si>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</si>
  <si>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</si>
  <si>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</si>
  <si>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</si>
  <si>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</si>
  <si>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</si>
  <si>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</si>
  <si>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</si>
  <si>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</si>
  <si>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</si>
  <si>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</si>
  <si>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</si>
  <si>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</si>
  <si>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</si>
  <si>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</si>
  <si>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</si>
  <si>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</si>
  <si>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</si>
  <si>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</si>
  <si>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</si>
  <si>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</si>
  <si>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</si>
  <si>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</si>
  <si>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</si>
  <si>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</si>
  <si>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</si>
  <si>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</si>
  <si>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</si>
  <si>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</si>
  <si>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</si>
  <si>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</si>
  <si>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</si>
  <si>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</si>
  <si>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</si>
  <si>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</si>
  <si>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</si>
  <si>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</si>
  <si>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</si>
  <si>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</si>
  <si>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</si>
  <si>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</si>
  <si>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emisison factor for manure management</t>
  </si>
  <si>
    <t>CH4 emisisons from manure management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</si>
  <si>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</si>
  <si>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</si>
  <si>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</si>
  <si>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</si>
  <si>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</si>
  <si>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</si>
  <si>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</si>
  <si>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</si>
  <si>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</si>
  <si>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</si>
  <si>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</si>
  <si>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</si>
  <si>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</si>
  <si>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</si>
  <si>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</si>
  <si>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</si>
  <si>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</si>
  <si>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</si>
  <si>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</si>
  <si>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</si>
  <si>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</si>
  <si>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</si>
  <si>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</si>
  <si>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</si>
  <si>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</si>
  <si>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</si>
  <si>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</si>
  <si>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</si>
  <si>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</si>
  <si>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</si>
  <si>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</si>
  <si>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</si>
  <si>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</si>
  <si>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</si>
  <si>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</si>
  <si>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</si>
  <si>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</si>
  <si>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</si>
  <si>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</si>
  <si>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</si>
  <si>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</si>
  <si>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</si>
  <si>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</si>
  <si>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</si>
  <si>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</si>
  <si>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</si>
  <si>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</si>
  <si>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</si>
  <si>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</si>
  <si>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</si>
  <si>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</si>
  <si>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</si>
  <si>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</si>
  <si>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</si>
  <si>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</si>
  <si>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</si>
  <si>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</si>
  <si>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</si>
  <si>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</si>
  <si>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</si>
  <si>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</si>
  <si>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</si>
  <si>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</si>
  <si>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</si>
  <si>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</si>
  <si>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</si>
  <si>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</si>
  <si>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</si>
  <si>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</si>
  <si>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</si>
  <si>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</si>
  <si>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</si>
  <si>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</si>
  <si>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</si>
  <si>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</si>
  <si>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</si>
  <si>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</si>
  <si>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</si>
  <si>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</si>
  <si>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</si>
  <si>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</si>
  <si>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</si>
  <si>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</si>
  <si>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</si>
  <si>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</si>
  <si>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</si>
  <si>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</si>
  <si>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</si>
  <si>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</si>
  <si>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</si>
  <si>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</si>
  <si>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</si>
  <si>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</si>
  <si>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</si>
  <si>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</si>
  <si>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</si>
  <si>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</si>
  <si>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</si>
  <si>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</si>
  <si>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</si>
  <si>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</si>
  <si>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</si>
  <si>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</si>
  <si>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</si>
  <si>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</si>
  <si>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</si>
  <si>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</si>
  <si>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</si>
  <si>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</si>
  <si>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</si>
  <si>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</si>
  <si>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</si>
  <si>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Nrate (t)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</si>
  <si>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</si>
  <si>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</si>
  <si>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</si>
  <si>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</si>
  <si>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</si>
  <si>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</si>
  <si>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</si>
  <si>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</si>
  <si>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</si>
  <si>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</si>
  <si>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</si>
  <si>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</si>
  <si>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</si>
  <si>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</si>
  <si>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</si>
  <si>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</si>
  <si>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</si>
  <si>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</si>
  <si>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</si>
  <si>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</si>
  <si>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</si>
  <si>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</si>
  <si>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</si>
  <si>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</si>
  <si>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</si>
  <si>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</si>
  <si>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</si>
  <si>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</si>
  <si>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</si>
  <si>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</si>
  <si>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</si>
  <si>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</si>
  <si>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</si>
  <si>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</si>
  <si>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</si>
  <si>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</si>
  <si>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</si>
  <si>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</si>
  <si>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</si>
  <si>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</si>
  <si>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</si>
  <si>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</si>
  <si>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</si>
  <si>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</si>
  <si>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</si>
  <si>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</si>
  <si>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</si>
  <si>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</si>
  <si>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</si>
  <si>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</si>
  <si>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</si>
  <si>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</si>
  <si>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</si>
  <si>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</si>
  <si>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</si>
  <si>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</si>
  <si>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</si>
  <si>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</si>
  <si>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</si>
  <si>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</si>
  <si>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</si>
  <si>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</si>
  <si>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</si>
  <si>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</si>
  <si>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</si>
  <si>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</si>
  <si>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</si>
  <si>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</si>
  <si>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</si>
  <si>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</si>
  <si>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</si>
  <si>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</si>
  <si>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</si>
  <si>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</si>
  <si>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</si>
  <si>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</si>
  <si>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</si>
  <si>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</si>
  <si>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</si>
  <si>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</si>
  <si>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</si>
  <si>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</si>
  <si>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</si>
  <si>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</si>
  <si>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</si>
  <si>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</si>
  <si>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</si>
  <si>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</si>
  <si>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</si>
  <si>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</si>
  <si>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</si>
  <si>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</si>
  <si>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</si>
  <si>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</si>
  <si>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</si>
  <si>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</si>
  <si>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</si>
  <si>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</si>
  <si>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</si>
  <si>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</si>
  <si>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</si>
  <si>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</si>
  <si>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</si>
  <si>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</si>
  <si>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</si>
  <si>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</si>
  <si>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</si>
  <si>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</si>
  <si>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</si>
  <si>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</si>
  <si>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</si>
  <si>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</si>
  <si>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</si>
  <si>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</si>
  <si>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</si>
  <si>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</si>
  <si>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</si>
  <si>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</si>
  <si>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</si>
  <si>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</si>
  <si>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</si>
  <si>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</si>
  <si>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</si>
  <si>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</si>
  <si>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</si>
  <si>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</si>
  <si>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</si>
  <si>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</si>
  <si>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</si>
  <si>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</si>
  <si>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</si>
  <si>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</si>
  <si>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</si>
  <si>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</si>
  <si>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</si>
  <si>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</si>
  <si>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</si>
  <si>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</si>
  <si>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</si>
  <si>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</si>
  <si>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</si>
  <si>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</si>
  <si>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</si>
  <si>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</si>
  <si>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</si>
  <si>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</si>
  <si>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</si>
  <si>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</si>
  <si>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</si>
  <si>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</si>
  <si>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</si>
  <si>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</si>
  <si>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</si>
  <si>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</si>
  <si>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</si>
  <si>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</si>
  <si>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</si>
  <si>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</si>
  <si>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</si>
  <si>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</si>
  <si>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</si>
  <si>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</si>
  <si>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</si>
  <si>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</si>
  <si>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</si>
  <si>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</si>
  <si>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</si>
  <si>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</si>
  <si>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</si>
  <si>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</si>
  <si>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</si>
  <si>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</si>
  <si>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</si>
  <si>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</si>
  <si>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</si>
  <si>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</si>
  <si>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</si>
  <si>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</si>
  <si>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</si>
  <si>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</si>
  <si>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</si>
  <si>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</si>
  <si>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</si>
  <si>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</si>
  <si>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</si>
  <si>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</si>
  <si>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</si>
  <si>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</si>
  <si>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</si>
  <si>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</si>
  <si>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</si>
  <si>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</si>
  <si>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</si>
  <si>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</si>
  <si>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</si>
  <si>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</si>
  <si>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</si>
  <si>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</si>
  <si>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</si>
  <si>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</si>
  <si>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</si>
  <si>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</si>
  <si>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</si>
  <si>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</si>
  <si>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</si>
  <si>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</si>
  <si>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</si>
  <si>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</si>
  <si>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</si>
  <si>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</si>
  <si>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</si>
  <si>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</si>
  <si>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</si>
  <si>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</si>
  <si>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</si>
  <si>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</si>
  <si>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</si>
  <si>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</si>
  <si>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</si>
  <si>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</si>
  <si>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</si>
  <si>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</si>
  <si>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</si>
  <si>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</si>
  <si>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</si>
  <si>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</si>
  <si>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</si>
  <si>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</si>
  <si>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</si>
  <si>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</si>
  <si>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</si>
  <si>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</si>
  <si>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</si>
  <si>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</si>
  <si>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</si>
  <si>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</si>
  <si>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</si>
  <si>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</si>
  <si>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</si>
  <si>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</si>
  <si>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</si>
  <si>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</si>
  <si>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</si>
  <si>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</si>
  <si>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</si>
  <si>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</si>
  <si>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</si>
  <si>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</si>
  <si>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</si>
  <si>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</si>
  <si>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</si>
  <si>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</si>
  <si>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</si>
  <si>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</si>
  <si>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</si>
  <si>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</si>
  <si>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</si>
  <si>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</si>
  <si>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</si>
  <si>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</si>
  <si>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</si>
  <si>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</si>
  <si>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</si>
  <si>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</si>
  <si>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</si>
  <si>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</si>
  <si>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</si>
  <si>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</si>
  <si>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</si>
  <si>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</si>
  <si>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</si>
  <si>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</si>
  <si>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</si>
  <si>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</si>
  <si>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</si>
  <si>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</si>
  <si>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</si>
  <si>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</si>
  <si>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</si>
  <si>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</si>
  <si>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</si>
  <si>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</si>
  <si>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</si>
  <si>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</si>
  <si>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</si>
  <si>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</si>
  <si>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</si>
  <si>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</si>
  <si>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</si>
  <si>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</si>
  <si>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</si>
  <si>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</si>
  <si>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</si>
  <si>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</si>
  <si>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</si>
  <si>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</si>
  <si>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</si>
  <si>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</si>
  <si>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</si>
  <si>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</si>
  <si>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</si>
  <si>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</si>
  <si>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</si>
  <si>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</si>
  <si>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</si>
  <si>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</si>
  <si>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</si>
  <si>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</si>
  <si>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</si>
  <si>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</si>
  <si>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</si>
  <si>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</si>
  <si>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</si>
  <si>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</si>
  <si>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</si>
  <si>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</si>
  <si>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</si>
  <si>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</si>
  <si>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</si>
  <si>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</si>
  <si>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</si>
  <si>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</si>
  <si>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</si>
  <si>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</si>
  <si>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</si>
  <si>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</si>
  <si>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</si>
  <si>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</si>
  <si>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</si>
  <si>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</si>
  <si>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</si>
  <si>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</si>
  <si>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</si>
  <si>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</si>
  <si>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</si>
  <si>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</si>
  <si>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</si>
  <si>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</si>
  <si>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</si>
  <si>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</si>
  <si>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</si>
  <si>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</si>
  <si>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</si>
  <si>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</si>
  <si>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</si>
  <si>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</si>
  <si>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</si>
  <si>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</si>
  <si>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</si>
  <si>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</si>
  <si>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</si>
  <si>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</si>
  <si>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</si>
  <si>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</si>
  <si>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</si>
  <si>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</si>
  <si>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</si>
  <si>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</si>
  <si>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</si>
  <si>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</si>
  <si>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</si>
  <si>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</si>
  <si>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</si>
  <si>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</si>
  <si>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</si>
  <si>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</si>
  <si>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</si>
  <si>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</si>
  <si>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</si>
  <si>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</si>
  <si>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</si>
  <si>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</si>
  <si>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</si>
  <si>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</si>
  <si>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</si>
  <si>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</si>
  <si>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</si>
  <si>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</si>
  <si>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</si>
  <si>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</si>
  <si>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</si>
  <si>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</si>
  <si>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</si>
  <si>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</si>
  <si>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</si>
  <si>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</si>
  <si>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</si>
  <si>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</si>
  <si>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</si>
  <si>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</si>
  <si>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</si>
  <si>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</si>
  <si>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</si>
  <si>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</si>
  <si>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</si>
  <si>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</si>
  <si>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</si>
  <si>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</si>
  <si>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</si>
  <si>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</si>
  <si>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</si>
  <si>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</si>
  <si>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</si>
  <si>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</si>
  <si>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</si>
  <si>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</si>
  <si>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</si>
  <si>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</si>
  <si>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</si>
  <si>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</si>
  <si>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</si>
  <si>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</si>
  <si>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</si>
  <si>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</si>
  <si>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</si>
  <si>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</si>
  <si>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</si>
  <si>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</si>
  <si>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</si>
  <si>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</si>
  <si>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</si>
  <si>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</si>
  <si>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</si>
  <si>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</si>
  <si>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</si>
  <si>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</si>
  <si>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</si>
  <si>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</si>
  <si>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</si>
  <si>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</si>
  <si>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</si>
  <si>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</si>
  <si>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</si>
  <si>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</si>
  <si>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</si>
  <si>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</si>
  <si>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</si>
  <si>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</si>
  <si>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</si>
  <si>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</si>
  <si>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</si>
  <si>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</si>
  <si>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</si>
  <si>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</si>
  <si>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</si>
  <si>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</si>
  <si>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</si>
  <si>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</si>
  <si>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</si>
  <si>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</si>
  <si>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</si>
  <si>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</si>
  <si>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</si>
  <si>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</si>
  <si>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</si>
  <si>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</si>
  <si>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</si>
  <si>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</si>
  <si>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</si>
  <si>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</si>
  <si>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</si>
  <si>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</si>
  <si>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</si>
  <si>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</si>
  <si>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</si>
  <si>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</si>
  <si>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</si>
  <si>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</si>
  <si>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</si>
  <si>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</si>
  <si>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</si>
  <si>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</si>
  <si>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</si>
  <si>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</si>
  <si>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</si>
  <si>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</si>
  <si>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</si>
  <si>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</si>
  <si>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</si>
  <si>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</si>
  <si>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</si>
  <si>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</si>
  <si>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</si>
  <si>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</si>
  <si>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</si>
  <si>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</si>
  <si>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</si>
  <si>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</si>
  <si>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</si>
  <si>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</si>
  <si>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</si>
  <si>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</si>
  <si>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</si>
  <si>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</si>
  <si>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</si>
  <si>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</si>
  <si>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</si>
  <si>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</si>
  <si>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</si>
  <si>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</si>
  <si>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</si>
  <si>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</si>
  <si>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</si>
  <si>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</si>
  <si>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</si>
  <si>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</si>
  <si>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</si>
  <si>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</si>
  <si>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</si>
  <si>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</si>
  <si>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</si>
  <si>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</si>
  <si>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</si>
  <si>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</si>
  <si>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</si>
  <si>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</si>
  <si>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</si>
  <si>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</si>
  <si>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</si>
  <si>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</si>
  <si>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</si>
  <si>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</si>
  <si>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</si>
  <si>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</si>
  <si>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</si>
  <si>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</si>
  <si>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</si>
  <si>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</si>
  <si>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</si>
  <si>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</si>
  <si>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</si>
  <si>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</si>
  <si>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</si>
  <si>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</si>
  <si>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</si>
  <si>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</si>
  <si>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</si>
  <si>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</si>
  <si>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</si>
  <si>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</si>
  <si>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</si>
  <si>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</si>
  <si>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</si>
  <si>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</si>
  <si>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</si>
  <si>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</si>
  <si>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</si>
  <si>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</si>
  <si>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</si>
  <si>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</si>
  <si>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</si>
  <si>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</si>
  <si>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</si>
  <si>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</si>
  <si>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</si>
  <si>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</si>
  <si>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</si>
  <si>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</si>
  <si>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</si>
  <si>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</si>
  <si>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</si>
  <si>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</si>
  <si>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</si>
  <si>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</si>
  <si>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</si>
  <si>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</si>
  <si>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</si>
  <si>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</si>
  <si>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</si>
  <si>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</si>
  <si>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</si>
  <si>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</si>
  <si>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</si>
  <si>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</si>
  <si>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</si>
  <si>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</si>
  <si>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</si>
  <si>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</si>
  <si>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</si>
  <si>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</si>
  <si>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</si>
  <si>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</si>
  <si>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</si>
  <si>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</si>
  <si>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</si>
  <si>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</si>
  <si>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</si>
  <si>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</si>
  <si>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</si>
  <si>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</si>
  <si>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</si>
  <si>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</si>
  <si>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</si>
  <si>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</si>
  <si>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</si>
  <si>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</si>
  <si>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</si>
  <si>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</si>
  <si>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</si>
  <si>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</si>
  <si>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</si>
  <si>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</si>
  <si>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</si>
  <si>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</si>
  <si>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</si>
  <si>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</si>
  <si>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</si>
  <si>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</si>
  <si>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</si>
  <si>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</si>
  <si>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</si>
  <si>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</si>
  <si>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</si>
  <si>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</si>
  <si>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</si>
  <si>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</si>
  <si>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</si>
  <si>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</si>
  <si>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</si>
  <si>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</si>
  <si>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</si>
  <si>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</si>
  <si>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</si>
  <si>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</si>
  <si>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</si>
  <si>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</si>
  <si>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</si>
  <si>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</si>
  <si>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</si>
  <si>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</si>
  <si>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</si>
  <si>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</si>
  <si>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</si>
  <si>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</si>
  <si>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</si>
  <si>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</si>
  <si>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</si>
  <si>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</si>
  <si>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</si>
  <si>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</si>
  <si>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</si>
  <si>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</si>
  <si>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</si>
  <si>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</si>
  <si>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</si>
  <si>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</si>
  <si>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</si>
  <si>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</si>
  <si>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</si>
  <si>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</si>
  <si>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</si>
  <si>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</si>
  <si>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</si>
  <si>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</si>
  <si>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</si>
  <si>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</si>
  <si>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</si>
  <si>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</si>
  <si>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</si>
  <si>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</si>
  <si>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</si>
  <si>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</si>
  <si>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</si>
  <si>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</si>
  <si>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</si>
  <si>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</si>
  <si>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</si>
  <si>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</si>
  <si>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</si>
  <si>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</si>
  <si>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</si>
  <si>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</si>
  <si>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</si>
  <si>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</si>
  <si>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</si>
  <si>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</si>
  <si>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</si>
  <si>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</si>
  <si>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</si>
  <si>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</si>
  <si>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</si>
  <si>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</si>
  <si>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</si>
  <si>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</si>
  <si>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</si>
  <si>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</si>
  <si>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</si>
  <si>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</si>
  <si>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</si>
  <si>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</si>
  <si>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</si>
  <si>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</si>
  <si>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</si>
  <si>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</si>
  <si>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</si>
  <si>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</si>
  <si>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</si>
  <si>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</si>
  <si>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</si>
  <si>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</si>
  <si>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</si>
  <si>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</si>
  <si>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</si>
  <si>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</si>
  <si>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</si>
  <si>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</si>
  <si>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</si>
  <si>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</si>
  <si>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</si>
  <si>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</si>
  <si>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</si>
  <si>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</si>
  <si>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</si>
  <si>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</si>
  <si>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</si>
  <si>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</si>
  <si>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</si>
  <si>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</si>
  <si>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</si>
  <si>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</si>
  <si>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</si>
  <si>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</si>
  <si>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</si>
  <si>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</si>
  <si>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</si>
  <si>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</si>
  <si>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</si>
  <si>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</si>
  <si>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</si>
  <si>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</si>
  <si>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</si>
  <si>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</si>
  <si>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</si>
  <si>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</si>
  <si>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</si>
  <si>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</si>
  <si>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</si>
  <si>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</si>
  <si>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</si>
  <si>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</si>
  <si>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</si>
  <si>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</si>
  <si>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</si>
  <si>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</si>
  <si>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</si>
  <si>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</si>
  <si>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</si>
  <si>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</si>
  <si>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</si>
  <si>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</si>
  <si>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</si>
  <si>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</si>
  <si>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</si>
  <si>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</si>
  <si>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</si>
  <si>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</si>
  <si>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</si>
  <si>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</si>
  <si>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</si>
  <si>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</si>
  <si>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</si>
  <si>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</si>
  <si>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</si>
  <si>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</si>
  <si>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</si>
  <si>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</si>
  <si>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</si>
  <si>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</si>
  <si>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</si>
  <si>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</si>
  <si>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</si>
  <si>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</si>
  <si>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</si>
  <si>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</si>
  <si>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</si>
  <si>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</si>
  <si>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</si>
  <si>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</si>
  <si>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</si>
  <si>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</si>
  <si>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</si>
  <si>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</si>
  <si>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</si>
  <si>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</si>
  <si>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</si>
  <si>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</si>
  <si>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</si>
  <si>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</si>
  <si>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</si>
  <si>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</si>
  <si>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</si>
  <si>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</si>
  <si>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</si>
  <si>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</si>
  <si>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</si>
  <si>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</si>
  <si>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</si>
  <si>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</si>
  <si>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</si>
  <si>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</si>
  <si>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</si>
  <si>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</si>
  <si>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</si>
  <si>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</si>
  <si>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</si>
  <si>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</si>
  <si>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</si>
  <si>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</si>
  <si>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</si>
  <si>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</si>
  <si>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</si>
  <si>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</si>
  <si>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</si>
  <si>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</si>
  <si>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</si>
  <si>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</si>
  <si>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</si>
  <si>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</si>
  <si>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</si>
  <si>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</si>
  <si>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</si>
  <si>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</si>
  <si>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</si>
  <si>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</si>
  <si>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</si>
  <si>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</si>
  <si>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</si>
  <si>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</si>
  <si>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</si>
  <si>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</si>
  <si>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</si>
  <si>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</si>
  <si>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</si>
  <si>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</si>
  <si>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</si>
  <si>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</si>
  <si>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</si>
  <si>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</si>
  <si>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</si>
  <si>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</si>
  <si>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</si>
  <si>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</si>
  <si>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</si>
  <si>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</si>
  <si>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</si>
  <si>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</si>
  <si>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</si>
  <si>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</si>
  <si>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</si>
  <si>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</si>
  <si>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</si>
  <si>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</si>
  <si>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</si>
  <si>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</si>
  <si>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</si>
  <si>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</si>
  <si>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</si>
  <si>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</si>
  <si>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</si>
  <si>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</si>
  <si>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</si>
  <si>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</si>
  <si>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</si>
  <si>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</si>
  <si>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</si>
  <si>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</si>
  <si>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</si>
  <si>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</si>
  <si>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</si>
  <si>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</si>
  <si>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</si>
  <si>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</si>
  <si>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</si>
  <si>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</si>
  <si>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</si>
  <si>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</si>
  <si>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</si>
  <si>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</si>
  <si>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</si>
  <si>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</si>
  <si>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</si>
  <si>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</si>
  <si>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</si>
  <si>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</si>
  <si>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</si>
  <si>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</si>
  <si>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</si>
  <si>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</si>
  <si>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</si>
  <si>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</si>
  <si>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</si>
  <si>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</si>
  <si>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</si>
  <si>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</si>
  <si>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</si>
  <si>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</si>
  <si>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</si>
  <si>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</si>
  <si>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</si>
  <si>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</si>
  <si>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</si>
  <si>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</si>
  <si>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</si>
  <si>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</si>
  <si>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</si>
  <si>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</si>
  <si>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</si>
  <si>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</si>
  <si>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</si>
  <si>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</si>
  <si>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</si>
  <si>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</si>
  <si>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</si>
  <si>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</si>
  <si>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</si>
  <si>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</si>
  <si>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</si>
  <si>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</si>
  <si>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</si>
  <si>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</si>
  <si>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</si>
  <si>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</si>
  <si>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</si>
  <si>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</si>
  <si>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</si>
  <si>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</si>
  <si>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</si>
  <si>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</si>
  <si>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</si>
  <si>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</si>
  <si>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</si>
  <si>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</si>
  <si>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</si>
  <si>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</si>
  <si>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</si>
  <si>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</si>
  <si>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</si>
  <si>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</si>
  <si>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</si>
  <si>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</si>
  <si>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</si>
  <si>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</si>
  <si>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</si>
  <si>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</si>
  <si>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</si>
  <si>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</si>
  <si>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</si>
  <si>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</si>
  <si>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</si>
  <si>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</si>
  <si>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</si>
  <si>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</si>
  <si>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</si>
  <si>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</si>
  <si>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</si>
  <si>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</si>
  <si>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</si>
  <si>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</si>
  <si>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</si>
  <si>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</si>
  <si>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</si>
  <si>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</si>
  <si>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</si>
  <si>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</si>
  <si>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</si>
  <si>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</si>
  <si>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</si>
  <si>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</si>
  <si>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</si>
  <si>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</si>
  <si>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</si>
  <si>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</si>
  <si>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</si>
  <si>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</si>
  <si>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</si>
  <si>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</si>
  <si>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</si>
  <si>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</si>
  <si>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</si>
  <si>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</si>
  <si>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</si>
  <si>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</si>
  <si>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</si>
  <si>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</si>
  <si>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</si>
  <si>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</si>
  <si>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</si>
  <si>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</si>
  <si>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</si>
  <si>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</si>
  <si>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</si>
  <si>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</si>
  <si>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</si>
  <si>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</si>
  <si>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</si>
  <si>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</si>
  <si>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</si>
  <si>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</si>
  <si>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</si>
  <si>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</si>
  <si>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</si>
  <si>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</si>
  <si>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</si>
  <si>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</si>
  <si>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</si>
  <si>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</si>
  <si>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</si>
  <si>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</si>
  <si>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</si>
  <si>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</si>
  <si>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</si>
  <si>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</si>
  <si>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</si>
  <si>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</si>
  <si>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</si>
  <si>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</si>
  <si>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</si>
  <si>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</si>
  <si>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</si>
  <si>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</si>
  <si>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</si>
  <si>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</si>
  <si>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</si>
  <si>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</si>
  <si>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</si>
  <si>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</si>
  <si>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</si>
  <si>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</si>
  <si>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</si>
  <si>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</si>
  <si>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</si>
  <si>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</si>
  <si>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</si>
  <si>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</si>
  <si>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</si>
  <si>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</si>
  <si>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</si>
  <si>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</si>
  <si>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</si>
  <si>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</si>
  <si>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</si>
  <si>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</si>
  <si>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</si>
  <si>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</si>
  <si>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</si>
  <si>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</si>
  <si>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</si>
  <si>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</si>
  <si>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</si>
  <si>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</si>
  <si>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</si>
  <si>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</si>
  <si>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</si>
  <si>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</si>
  <si>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</si>
  <si>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</si>
  <si>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</si>
  <si>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</si>
  <si>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</si>
  <si>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</si>
  <si>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</si>
  <si>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</si>
  <si>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</si>
  <si>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</si>
  <si>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</si>
  <si>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</si>
  <si>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</si>
  <si>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</si>
  <si>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</si>
  <si>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</si>
  <si>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</si>
  <si>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</si>
  <si>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</si>
  <si>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</si>
  <si>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</si>
  <si>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</si>
  <si>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</si>
  <si>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</si>
  <si>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</si>
  <si>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</si>
  <si>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</si>
  <si>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</si>
  <si>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</si>
  <si>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</si>
  <si>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</si>
  <si>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</si>
  <si>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</si>
  <si>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</si>
  <si>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</si>
  <si>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</si>
  <si>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</si>
  <si>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</si>
  <si>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</si>
  <si>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</si>
  <si>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</si>
  <si>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</si>
  <si>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</si>
  <si>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</si>
  <si>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</si>
  <si>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</si>
  <si>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</si>
  <si>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</si>
  <si>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</si>
  <si>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</si>
  <si>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</si>
  <si>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</si>
  <si>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</si>
  <si>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</si>
  <si>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</si>
  <si>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</si>
  <si>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</si>
  <si>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</si>
  <si>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</si>
  <si>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</si>
  <si>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</si>
  <si>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</si>
  <si>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</si>
  <si>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</si>
  <si>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</si>
  <si>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</si>
  <si>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</si>
  <si>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</si>
  <si>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</si>
  <si>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</si>
  <si>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</si>
  <si>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</si>
  <si>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</si>
  <si>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</si>
  <si>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</si>
  <si>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</si>
  <si>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</si>
  <si>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</si>
  <si>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</si>
  <si>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</si>
  <si>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</si>
  <si>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</si>
  <si>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</si>
  <si>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</si>
  <si>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</si>
  <si>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</si>
  <si>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</si>
  <si>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</si>
  <si>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</si>
  <si>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</si>
  <si>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</si>
  <si>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</si>
  <si>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</si>
  <si>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</si>
  <si>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</si>
  <si>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</si>
  <si>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</si>
  <si>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</si>
  <si>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</si>
  <si>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</si>
  <si>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</si>
  <si>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</si>
  <si>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</si>
  <si>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</si>
  <si>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</si>
  <si>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</si>
  <si>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</si>
  <si>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</si>
  <si>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</si>
  <si>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</si>
  <si>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</si>
  <si>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</si>
  <si>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</si>
  <si>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</si>
  <si>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</si>
  <si>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</si>
  <si>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</si>
  <si>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</si>
  <si>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</si>
  <si>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</si>
  <si>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</si>
  <si>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</si>
  <si>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</si>
  <si>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</si>
  <si>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</si>
  <si>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</si>
  <si>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</si>
  <si>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</si>
  <si>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</si>
  <si>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</si>
  <si>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</si>
  <si>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</si>
  <si>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</si>
  <si>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</si>
  <si>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</si>
  <si>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</si>
  <si>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</si>
  <si>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</si>
  <si>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</si>
  <si>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</si>
  <si>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</si>
  <si>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</si>
  <si>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</si>
  <si>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</si>
  <si>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</si>
  <si>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</si>
  <si>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</si>
  <si>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</si>
  <si>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</si>
  <si>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Burned for fuel</t>
  </si>
  <si>
    <t>Anaerobic digester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</si>
  <si>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</si>
  <si>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</si>
  <si>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</si>
  <si>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</si>
  <si>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</si>
  <si>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</si>
  <si>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</si>
  <si>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</si>
  <si>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</si>
  <si>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</si>
  <si>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</si>
  <si>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</si>
  <si>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</si>
  <si>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</si>
  <si>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</si>
  <si>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</si>
  <si>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</si>
  <si>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</si>
  <si>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</si>
  <si>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</si>
  <si>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</si>
  <si>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</si>
  <si>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</si>
  <si>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</si>
  <si>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</si>
  <si>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</si>
  <si>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</si>
  <si>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</si>
  <si>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</si>
  <si>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</si>
  <si>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</si>
  <si>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</si>
  <si>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</si>
  <si>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</si>
  <si>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</si>
  <si>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</si>
  <si>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</si>
  <si>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</si>
  <si>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</si>
  <si>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</si>
  <si>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</si>
  <si>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</si>
  <si>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</si>
  <si>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</si>
  <si>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</si>
  <si>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</si>
  <si>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</si>
  <si>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</si>
  <si>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</si>
  <si>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</si>
  <si>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</si>
  <si>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</si>
  <si>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</si>
  <si>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</si>
  <si>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</si>
  <si>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</si>
  <si>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</si>
  <si>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</si>
  <si>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</si>
  <si>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</si>
  <si>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</si>
  <si>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</si>
  <si>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</si>
  <si>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</si>
  <si>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</si>
  <si>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</si>
  <si>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</si>
  <si>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</si>
  <si>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</si>
  <si>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</si>
  <si>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</si>
  <si>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</si>
  <si>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</si>
  <si>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</si>
  <si>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</si>
  <si>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</si>
  <si>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</si>
  <si>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</si>
  <si>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</si>
  <si>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</si>
  <si>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</si>
  <si>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</si>
  <si>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</si>
  <si>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</si>
  <si>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</si>
  <si>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</si>
  <si>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</si>
  <si>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</si>
  <si>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</si>
  <si>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</si>
  <si>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</si>
  <si>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</si>
  <si>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</si>
  <si>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</si>
  <si>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</si>
  <si>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</si>
  <si>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</si>
  <si>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</si>
  <si>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</si>
  <si>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</si>
  <si>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</si>
  <si>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</si>
  <si>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</si>
  <si>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</si>
  <si>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</si>
  <si>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</si>
  <si>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</si>
  <si>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</si>
  <si>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</si>
  <si>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</si>
  <si>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</si>
  <si>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</si>
  <si>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</si>
  <si>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</si>
  <si>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</si>
  <si>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</si>
  <si>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</si>
  <si>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</si>
  <si>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</si>
  <si>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</si>
  <si>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</si>
  <si>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</si>
  <si>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</si>
  <si>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</si>
  <si>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</si>
  <si>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</si>
  <si>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</si>
  <si>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</si>
  <si>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</si>
  <si>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</si>
  <si>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</si>
  <si>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</si>
  <si>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</si>
  <si>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</si>
  <si>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</si>
  <si>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</si>
  <si>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</si>
  <si>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</si>
  <si>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</si>
  <si>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</si>
  <si>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</si>
  <si>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</si>
  <si>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</si>
  <si>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</si>
  <si>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</si>
  <si>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</si>
  <si>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</si>
  <si>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</si>
  <si>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</si>
  <si>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</si>
  <si>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</si>
  <si>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</si>
  <si>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</si>
  <si>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</si>
  <si>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</si>
  <si>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</si>
  <si>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</si>
  <si>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</si>
  <si>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</si>
  <si>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</si>
  <si>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</si>
  <si>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</si>
  <si>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</si>
  <si>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</si>
  <si>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</si>
  <si>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</si>
  <si>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</si>
  <si>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</si>
  <si>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</si>
  <si>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</si>
  <si>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</si>
  <si>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</si>
  <si>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</si>
  <si>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</si>
  <si>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</si>
  <si>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</si>
  <si>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</si>
  <si>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</si>
  <si>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</si>
  <si>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</si>
  <si>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</si>
  <si>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</si>
  <si>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</si>
  <si>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</si>
  <si>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</si>
  <si>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</si>
  <si>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</si>
  <si>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</si>
  <si>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</si>
  <si>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</si>
  <si>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</si>
  <si>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</si>
  <si>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</si>
  <si>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</si>
  <si>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</si>
  <si>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</si>
  <si>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</si>
  <si>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</si>
  <si>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</si>
  <si>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</si>
  <si>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</si>
  <si>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</si>
  <si>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</si>
  <si>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</si>
  <si>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</si>
  <si>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</si>
  <si>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</si>
  <si>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</si>
  <si>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</si>
  <si>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</si>
  <si>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</si>
  <si>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</si>
  <si>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</si>
  <si>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</si>
  <si>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</si>
  <si>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</si>
  <si>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</si>
  <si>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</si>
  <si>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</si>
  <si>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</si>
  <si>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</si>
  <si>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</si>
  <si>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Days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</si>
  <si>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</si>
  <si>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</si>
  <si>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</si>
  <si>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</si>
  <si>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</si>
  <si>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</si>
  <si>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</si>
  <si>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Unique cell</t>
  </si>
  <si>
    <t>ANIMAL CATEGORY IPCC</t>
  </si>
  <si>
    <t>ANIMAL CATEGORY CLEANED</t>
  </si>
  <si>
    <t>Other Cattle and Buffaloes that are primarily fed low quality crop residues and byproducts</t>
  </si>
  <si>
    <t>Table 10.12</t>
  </si>
  <si>
    <t>Other Cattle or Buffalo – grazing</t>
  </si>
  <si>
    <t>Livestock category  IPCC (t)</t>
  </si>
  <si>
    <t>Season 1 - feedbasket</t>
  </si>
  <si>
    <t>Season 2 - feedbasket</t>
  </si>
  <si>
    <t>Season 1</t>
  </si>
  <si>
    <t>Season 3 - feedbasket</t>
  </si>
  <si>
    <t>Season 3</t>
  </si>
  <si>
    <t>SEASON 1</t>
  </si>
  <si>
    <t>Average 3 seasons</t>
  </si>
  <si>
    <t>Energy req. season 3 (MJ)</t>
  </si>
  <si>
    <t>Fresh Intake required (Kg FW/yr) season 3 - energy</t>
  </si>
  <si>
    <t>DMI required season 3 (kg DM/yr) - energy</t>
  </si>
  <si>
    <t>Protein req. season 3 (kg)</t>
  </si>
  <si>
    <t>Fresh intake required season 3 (kg DM/yr) - cp</t>
  </si>
  <si>
    <t>DMI required season 3 (kg DM/yr) - cp</t>
  </si>
  <si>
    <t>DMI (Energy) (S3)</t>
  </si>
  <si>
    <t>DMI (Protein S3)</t>
  </si>
  <si>
    <t>DMI S3</t>
  </si>
  <si>
    <t>limiting S3</t>
  </si>
  <si>
    <t>DMI required season 3 (kg DM/yr)</t>
  </si>
  <si>
    <t>Feed item DM req S3</t>
  </si>
  <si>
    <t>area tot (ha) S3</t>
  </si>
  <si>
    <t>area non-feed (ha) S3</t>
  </si>
  <si>
    <t>area feed (ha) S3</t>
  </si>
  <si>
    <t>Total Area DM S3</t>
  </si>
  <si>
    <t>T23</t>
  </si>
  <si>
    <t>Guatemala</t>
  </si>
  <si>
    <t>Guatemala (Tripsacum andersonii) - forage</t>
  </si>
  <si>
    <t>Farm Enterprise</t>
  </si>
  <si>
    <t>cereal</t>
  </si>
  <si>
    <t>tree legume</t>
  </si>
  <si>
    <t>Tree</t>
  </si>
  <si>
    <t>Δ CO2 eq Soils (total)</t>
  </si>
  <si>
    <t>(t C.yr-1)</t>
  </si>
  <si>
    <t>t CO2 eq yr-1</t>
  </si>
  <si>
    <t>trees feed</t>
  </si>
  <si>
    <t>trees non-feed</t>
  </si>
  <si>
    <t>Δ C Biomass (total)</t>
  </si>
  <si>
    <t>Δ CO2 eq Biomass (total)</t>
  </si>
  <si>
    <t>Dairy_Mufindi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</si>
</sst>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</fills>
  <borders count="8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700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29" fillId="0" borderId="1" xfId="0" quotePrefix="1" applyFont="1" applyBorder="1" applyAlignment="1">
      <alignment horizontal="center" vertical="center"/>
    </xf>
    <xf numFmtId="166" fontId="29" fillId="0" borderId="0" xfId="0" applyNumberFormat="1" applyFont="1" applyAlignment="1">
      <alignment horizontal="center" vertical="center" wrapText="1"/>
    </xf>
    <xf numFmtId="0" fontId="29" fillId="0" borderId="12" xfId="0" applyFont="1" applyBorder="1" applyAlignment="1">
      <alignment horizontal="left" vertical="center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9" xfId="0" applyFont="1" applyBorder="1" applyAlignment="1">
      <alignment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1" xfId="0" applyNumberFormat="1" applyFont="1" applyBorder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3" fontId="55" fillId="0" borderId="0" xfId="0" applyNumberFormat="1" applyFont="1" applyAlignment="1">
      <alignment horizontal="center" vertical="center" wrapText="1"/>
    </xf>
    <xf numFmtId="1" fontId="29" fillId="0" borderId="0" xfId="0" applyNumberFormat="1" applyFont="1" applyAlignment="1">
      <alignment horizontal="center" vertical="top" wrapText="1"/>
    </xf>
    <xf numFmtId="0" fontId="55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>
      <alignment vertical="top" wrapText="1"/>
    </xf>
    <xf numFmtId="0" fontId="52" fillId="0" borderId="0" xfId="0" applyFont="1" applyAlignment="1">
      <alignment horizontal="center" vertical="center" wrapText="1"/>
    </xf>
    <xf numFmtId="0" fontId="52" fillId="0" borderId="14" xfId="0" applyFont="1" applyBorder="1" applyAlignment="1">
      <alignment horizontal="center" vertical="center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22" fillId="6" borderId="0" xfId="6" applyFont="1" applyFill="1"/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170" fontId="0" fillId="0" borderId="0" xfId="1833" applyNumberFormat="1" applyFont="1" applyAlignment="1">
      <alignment vertical="top"/>
    </xf>
    <xf numFmtId="170" fontId="68" fillId="0" borderId="0" xfId="0" applyNumberFormat="1" applyFont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2" fontId="0" fillId="0" borderId="4" xfId="0" applyNumberFormat="1" applyBorder="1"/>
    <xf numFmtId="0" fontId="76" fillId="6" borderId="0" xfId="0" applyFont="1" applyFill="1" applyAlignment="1">
      <alignment horizontal="center" vertical="center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49" xfId="0" applyBorder="1"/>
    <xf numFmtId="0" fontId="0" fillId="6" borderId="22" xfId="0" applyFill="1" applyBorder="1" applyAlignment="1">
      <alignment vertical="center"/>
    </xf>
    <xf numFmtId="2" fontId="29" fillId="0" borderId="19" xfId="0" applyNumberFormat="1" applyFont="1" applyBorder="1"/>
    <xf numFmtId="2" fontId="26" fillId="0" borderId="38" xfId="0" applyNumberFormat="1" applyFont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1" fontId="29" fillId="14" borderId="1" xfId="0" applyNumberFormat="1" applyFont="1" applyFill="1" applyBorder="1" applyAlignment="1" applyProtection="1">
      <alignment horizontal="left" vertical="center"/>
      <protection locked="0"/>
    </xf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8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7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29" fillId="0" borderId="71" xfId="0" applyFont="1" applyBorder="1" applyAlignment="1">
      <alignment horizontal="center" vertical="center" wrapText="1"/>
    </xf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29" fillId="0" borderId="21" xfId="0" applyNumberFormat="1" applyFont="1" applyBorder="1"/>
    <xf numFmtId="0" fontId="29" fillId="4" borderId="1" xfId="0" applyFont="1" applyFill="1" applyBorder="1" applyAlignment="1">
      <alignment horizontal="center" vertical="center" wrapText="1"/>
    </xf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58" fillId="0" borderId="21" xfId="1556" applyNumberFormat="1" applyBorder="1"/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0" fontId="71" fillId="0" borderId="1" xfId="0" applyFont="1" applyFill="1" applyBorder="1"/>
    <xf numFmtId="0" fontId="0" fillId="0" borderId="0" xfId="0"/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7" fillId="6" borderId="80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6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1" fontId="29" fillId="0" borderId="0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1" xfId="0" applyNumberFormat="1" applyFont="1" applyBorder="1" applyAlignment="1">
      <alignment vertical="center"/>
    </xf>
    <xf numFmtId="0" fontId="29" fillId="0" borderId="1" xfId="0" applyNumberFormat="1" applyFont="1" applyBorder="1" applyAlignment="1"/>
    <xf numFmtId="0" fontId="29" fillId="0" borderId="0" xfId="0" applyFont="1" applyBorder="1" applyAlignment="1">
      <alignment horizontal="center"/>
    </xf>
    <xf numFmtId="0" fontId="28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top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79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0" fontId="0" fillId="0" borderId="0" xfId="0"/>
    <xf numFmtId="165" fontId="23" fillId="6" borderId="0" xfId="0" applyNumberFormat="1" applyFont="1" applyFill="1" applyBorder="1" applyAlignment="1" applyProtection="1">
      <alignment horizontal="center" vertical="center"/>
      <protection locked="0"/>
    </xf>
    <xf numFmtId="2" fontId="23" fillId="6" borderId="0" xfId="0" applyNumberFormat="1" applyFont="1" applyFill="1" applyBorder="1" applyAlignment="1" applyProtection="1">
      <alignment horizontal="center" vertical="center"/>
      <protection locked="0"/>
    </xf>
    <xf numFmtId="2" fontId="57" fillId="6" borderId="0" xfId="0" applyNumberFormat="1" applyFont="1" applyFill="1" applyBorder="1" applyAlignment="1" applyProtection="1">
      <alignment horizontal="center" vertical="center"/>
      <protection locked="0"/>
    </xf>
    <xf numFmtId="10" fontId="0" fillId="6" borderId="0" xfId="0" applyNumberFormat="1" applyFill="1" applyAlignment="1">
      <alignment horizontal="center" vertical="center"/>
    </xf>
    <xf numFmtId="0" fontId="0" fillId="6" borderId="70" xfId="0" applyFill="1" applyBorder="1" applyAlignment="1">
      <alignment horizontal="left" vertical="center"/>
    </xf>
    <xf numFmtId="2" fontId="29" fillId="0" borderId="12" xfId="0" applyNumberFormat="1" applyFont="1" applyFill="1" applyBorder="1" applyProtection="1"/>
    <xf numFmtId="2" fontId="29" fillId="6" borderId="1" xfId="0" applyNumberFormat="1" applyFont="1" applyFill="1" applyBorder="1" applyAlignment="1" applyProtection="1">
      <alignment horizontal="center" wrapText="1"/>
    </xf>
    <xf numFmtId="166" fontId="29" fillId="14" borderId="1" xfId="0" applyNumberFormat="1" applyFont="1" applyFill="1" applyBorder="1" applyAlignment="1" applyProtection="1">
      <alignment vertical="center"/>
      <protection locked="0"/>
    </xf>
    <xf numFmtId="0" fontId="29" fillId="14" borderId="1" xfId="0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center" vertical="center" wrapText="1"/>
      <protection locked="0"/>
    </xf>
    <xf numFmtId="166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166" fontId="29" fillId="14" borderId="1" xfId="0" applyNumberFormat="1" applyFont="1" applyFill="1" applyBorder="1" applyAlignment="1" applyProtection="1">
      <alignment horizontal="center" vertical="center"/>
      <protection locked="0"/>
    </xf>
    <xf numFmtId="10" fontId="0" fillId="5" borderId="0" xfId="0" applyNumberFormat="1" applyFill="1" applyAlignment="1" applyProtection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14" borderId="80" xfId="0" applyFill="1" applyBorder="1" applyAlignment="1" applyProtection="1">
      <alignment horizontal="center"/>
      <protection locked="0"/>
    </xf>
    <xf numFmtId="0" fontId="0" fillId="14" borderId="31" xfId="0" applyFill="1" applyBorder="1" applyAlignment="1" applyProtection="1">
      <alignment horizontal="center"/>
      <protection locked="0"/>
    </xf>
    <xf numFmtId="0" fontId="0" fillId="6" borderId="36" xfId="0" applyFill="1" applyBorder="1" applyAlignment="1" applyProtection="1">
      <alignment horizontal="center" vertical="center" wrapText="1"/>
      <protection locked="0"/>
    </xf>
    <xf numFmtId="0" fontId="0" fillId="6" borderId="37" xfId="0" applyFill="1" applyBorder="1" applyAlignment="1" applyProtection="1">
      <alignment horizontal="center" vertical="center" wrapText="1"/>
      <protection locked="0"/>
    </xf>
    <xf numFmtId="0" fontId="10" fillId="14" borderId="28" xfId="0" applyFont="1" applyFill="1" applyBorder="1" applyAlignment="1" applyProtection="1">
      <alignment horizontal="center" vertical="top" wrapText="1"/>
      <protection locked="0"/>
    </xf>
    <xf numFmtId="0" fontId="10" fillId="14" borderId="31" xfId="0" applyFont="1" applyFill="1" applyBorder="1" applyAlignment="1" applyProtection="1">
      <alignment horizontal="center" vertical="top" wrapText="1"/>
      <protection locked="0"/>
    </xf>
    <xf numFmtId="0" fontId="0" fillId="6" borderId="35" xfId="0" applyFill="1" applyBorder="1" applyAlignment="1" applyProtection="1">
      <alignment horizontal="center" vertical="center"/>
    </xf>
    <xf numFmtId="1" fontId="78" fillId="6" borderId="21" xfId="0" applyNumberFormat="1" applyFont="1" applyFill="1" applyBorder="1" applyAlignment="1" applyProtection="1">
      <alignment horizontal="center" vertical="center" wrapText="1"/>
    </xf>
    <xf numFmtId="0" fontId="0" fillId="6" borderId="25" xfId="0" applyFill="1" applyBorder="1" applyAlignment="1" applyProtection="1">
      <alignment horizontal="center" vertical="center" wrapText="1"/>
    </xf>
    <xf numFmtId="0" fontId="0" fillId="6" borderId="26" xfId="0" applyFill="1" applyBorder="1" applyAlignment="1" applyProtection="1">
      <alignment horizontal="center" vertical="center" wrapText="1"/>
    </xf>
    <xf numFmtId="0" fontId="0" fillId="6" borderId="36" xfId="0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 vertical="center"/>
    </xf>
    <xf numFmtId="0" fontId="0" fillId="6" borderId="28" xfId="0" applyFill="1" applyBorder="1" applyAlignment="1" applyProtection="1">
      <alignment horizontal="center" vertical="center"/>
    </xf>
    <xf numFmtId="0" fontId="0" fillId="6" borderId="35" xfId="0" applyFill="1" applyBorder="1" applyAlignment="1" applyProtection="1">
      <alignment horizontal="center" vertical="center" wrapText="1"/>
    </xf>
    <xf numFmtId="0" fontId="0" fillId="6" borderId="48" xfId="0" applyFill="1" applyBorder="1" applyAlignment="1" applyProtection="1">
      <alignment horizontal="center" vertical="center" wrapText="1"/>
    </xf>
    <xf numFmtId="1" fontId="0" fillId="0" borderId="36" xfId="0" applyNumberFormat="1" applyBorder="1" applyAlignment="1" applyProtection="1">
      <alignment horizontal="center" vertical="center" wrapText="1"/>
    </xf>
    <xf numFmtId="2" fontId="78" fillId="0" borderId="1" xfId="0" applyNumberFormat="1" applyFont="1" applyBorder="1" applyAlignment="1" applyProtection="1">
      <alignment horizontal="center" vertical="center" wrapText="1"/>
    </xf>
    <xf numFmtId="0" fontId="0" fillId="6" borderId="19" xfId="0" applyFill="1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 wrapText="1"/>
    </xf>
    <xf numFmtId="0" fontId="0" fillId="0" borderId="37" xfId="0" applyBorder="1" applyAlignment="1" applyProtection="1">
      <alignment horizontal="center" vertical="center" wrapText="1"/>
    </xf>
    <xf numFmtId="2" fontId="78" fillId="0" borderId="30" xfId="0" applyNumberFormat="1" applyFont="1" applyBorder="1" applyAlignment="1" applyProtection="1">
      <alignment horizontal="center" vertical="center" wrapText="1"/>
    </xf>
    <xf numFmtId="0" fontId="0" fillId="6" borderId="30" xfId="0" applyFill="1" applyBorder="1" applyAlignment="1" applyProtection="1">
      <alignment horizontal="center" vertical="center"/>
    </xf>
    <xf numFmtId="0" fontId="0" fillId="6" borderId="58" xfId="0" applyFill="1" applyBorder="1" applyAlignment="1" applyProtection="1">
      <alignment horizontal="center" vertical="center"/>
    </xf>
    <xf numFmtId="0" fontId="29" fillId="0" borderId="52" xfId="0" applyFont="1" applyBorder="1" applyAlignment="1" applyProtection="1">
      <alignment horizontal="center" vertical="center" wrapText="1"/>
    </xf>
    <xf numFmtId="0" fontId="78" fillId="0" borderId="12" xfId="0" applyFont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0" fontId="0" fillId="6" borderId="65" xfId="0" applyFill="1" applyBorder="1" applyAlignment="1" applyProtection="1">
      <alignment horizontal="center" vertical="center" wrapText="1"/>
    </xf>
    <xf numFmtId="0" fontId="0" fillId="6" borderId="2" xfId="0" applyFill="1" applyBorder="1" applyAlignment="1" applyProtection="1">
      <alignment horizontal="center" vertical="center" wrapText="1"/>
    </xf>
    <xf numFmtId="2" fontId="78" fillId="0" borderId="25" xfId="0" applyNumberFormat="1" applyFont="1" applyBorder="1" applyAlignment="1" applyProtection="1">
      <alignment horizontal="center" vertical="center" wrapText="1"/>
    </xf>
    <xf numFmtId="0" fontId="78" fillId="0" borderId="25" xfId="0" applyFont="1" applyBorder="1" applyAlignment="1" applyProtection="1">
      <alignment horizontal="center" vertical="center" wrapText="1"/>
    </xf>
    <xf numFmtId="1" fontId="0" fillId="6" borderId="36" xfId="0" applyNumberFormat="1" applyFill="1" applyBorder="1" applyAlignment="1" applyProtection="1">
      <alignment horizontal="center" vertical="center" wrapText="1"/>
    </xf>
    <xf numFmtId="2" fontId="78" fillId="0" borderId="21" xfId="0" applyNumberFormat="1" applyFont="1" applyBorder="1" applyAlignment="1" applyProtection="1">
      <alignment horizontal="center" vertical="center" wrapText="1"/>
    </xf>
    <xf numFmtId="0" fontId="0" fillId="6" borderId="37" xfId="0" applyFill="1" applyBorder="1" applyAlignment="1" applyProtection="1">
      <alignment horizontal="center" vertical="center" wrapText="1"/>
    </xf>
    <xf numFmtId="2" fontId="78" fillId="0" borderId="38" xfId="0" applyNumberFormat="1" applyFont="1" applyBorder="1" applyAlignment="1" applyProtection="1">
      <alignment horizontal="center" vertical="center" wrapText="1"/>
    </xf>
    <xf numFmtId="0" fontId="0" fillId="6" borderId="31" xfId="0" applyFill="1" applyBorder="1" applyAlignment="1" applyProtection="1">
      <alignment horizontal="center" vertical="center"/>
    </xf>
    <xf numFmtId="1" fontId="0" fillId="6" borderId="0" xfId="0" applyNumberFormat="1" applyFill="1" applyAlignment="1" applyProtection="1">
      <alignment horizontal="right" vertical="center" wrapText="1"/>
      <protection locked="0"/>
    </xf>
    <xf numFmtId="4" fontId="0" fillId="6" borderId="0" xfId="0" applyNumberFormat="1" applyFill="1" applyProtection="1">
      <protection locked="0"/>
    </xf>
    <xf numFmtId="9" fontId="0" fillId="6" borderId="0" xfId="1554" applyFont="1" applyFill="1" applyProtection="1">
      <protection locked="0"/>
    </xf>
    <xf numFmtId="0" fontId="26" fillId="18" borderId="4" xfId="0" applyFont="1" applyFill="1" applyBorder="1" applyAlignment="1" applyProtection="1">
      <alignment horizontal="left" vertical="top"/>
      <protection locked="0"/>
    </xf>
    <xf numFmtId="0" fontId="26" fillId="18" borderId="0" xfId="0" applyFont="1" applyFill="1" applyAlignment="1" applyProtection="1">
      <alignment horizontal="left" vertical="top"/>
      <protection locked="0"/>
    </xf>
    <xf numFmtId="0" fontId="26" fillId="18" borderId="0" xfId="0" applyFont="1" applyFill="1" applyAlignment="1" applyProtection="1">
      <alignment horizontal="center" vertical="top"/>
      <protection locked="0"/>
    </xf>
    <xf numFmtId="0" fontId="26" fillId="18" borderId="0" xfId="0" applyFont="1" applyFill="1" applyBorder="1" applyAlignment="1" applyProtection="1">
      <alignment horizontal="center" vertical="top"/>
      <protection locked="0"/>
    </xf>
    <xf numFmtId="0" fontId="26" fillId="18" borderId="5" xfId="0" applyFont="1" applyFill="1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166" fontId="0" fillId="0" borderId="0" xfId="0" applyNumberFormat="1" applyAlignment="1" applyProtection="1">
      <alignment vertical="top"/>
      <protection locked="0"/>
    </xf>
    <xf numFmtId="166" fontId="0" fillId="0" borderId="5" xfId="0" applyNumberFormat="1" applyBorder="1" applyAlignment="1" applyProtection="1">
      <alignment vertical="top"/>
      <protection locked="0"/>
    </xf>
    <xf numFmtId="0" fontId="26" fillId="0" borderId="0" xfId="0" applyFont="1" applyAlignment="1" applyProtection="1">
      <alignment vertical="top"/>
      <protection locked="0"/>
    </xf>
    <xf numFmtId="166" fontId="26" fillId="0" borderId="0" xfId="0" applyNumberFormat="1" applyFont="1" applyAlignment="1" applyProtection="1">
      <alignment vertical="top"/>
      <protection locked="0"/>
    </xf>
    <xf numFmtId="166" fontId="26" fillId="0" borderId="5" xfId="0" applyNumberFormat="1" applyFont="1" applyBorder="1" applyAlignment="1" applyProtection="1">
      <alignment vertical="top"/>
      <protection locked="0"/>
    </xf>
    <xf numFmtId="0" fontId="0" fillId="0" borderId="6" xfId="0" applyBorder="1" applyAlignment="1" applyProtection="1">
      <alignment vertical="top"/>
      <protection locked="0"/>
    </xf>
    <xf numFmtId="0" fontId="0" fillId="0" borderId="45" xfId="0" applyBorder="1" applyAlignment="1" applyProtection="1">
      <alignment vertical="top"/>
      <protection locked="0"/>
    </xf>
    <xf numFmtId="167" fontId="0" fillId="0" borderId="7" xfId="0" applyNumberFormat="1" applyBorder="1" applyAlignment="1" applyProtection="1">
      <alignment vertical="top"/>
      <protection locked="0"/>
    </xf>
    <xf numFmtId="170" fontId="0" fillId="0" borderId="0" xfId="1833" applyNumberFormat="1" applyFont="1" applyAlignment="1" applyProtection="1">
      <alignment vertical="top"/>
      <protection locked="0"/>
    </xf>
    <xf numFmtId="170" fontId="0" fillId="0" borderId="5" xfId="1833" applyNumberFormat="1" applyFont="1" applyBorder="1" applyProtection="1">
      <protection locked="0"/>
    </xf>
    <xf numFmtId="170" fontId="68" fillId="0" borderId="0" xfId="0" applyNumberFormat="1" applyFont="1" applyAlignment="1" applyProtection="1">
      <alignment vertical="top"/>
      <protection locked="0"/>
    </xf>
    <xf numFmtId="170" fontId="68" fillId="0" borderId="5" xfId="0" applyNumberFormat="1" applyFont="1" applyBorder="1" applyAlignment="1" applyProtection="1">
      <alignment vertical="top"/>
      <protection locked="0"/>
    </xf>
    <xf numFmtId="170" fontId="0" fillId="0" borderId="45" xfId="0" applyNumberFormat="1" applyBorder="1" applyAlignment="1" applyProtection="1">
      <alignment vertical="top"/>
      <protection locked="0"/>
    </xf>
    <xf numFmtId="169" fontId="0" fillId="0" borderId="7" xfId="0" applyNumberFormat="1" applyBorder="1" applyAlignment="1" applyProtection="1">
      <alignment vertical="top"/>
      <protection locked="0"/>
    </xf>
    <xf numFmtId="0" fontId="0" fillId="5" borderId="2" xfId="0" applyFill="1" applyBorder="1" applyAlignment="1" applyProtection="1">
      <alignment horizontal="left"/>
      <protection locked="0"/>
    </xf>
    <xf numFmtId="0" fontId="26" fillId="5" borderId="50" xfId="0" applyFont="1" applyFill="1" applyBorder="1" applyAlignment="1" applyProtection="1">
      <alignment horizontal="left" wrapText="1"/>
      <protection locked="0"/>
    </xf>
    <xf numFmtId="0" fontId="26" fillId="5" borderId="3" xfId="0" applyFont="1" applyFill="1" applyBorder="1" applyAlignment="1" applyProtection="1">
      <alignment horizontal="left" wrapText="1"/>
      <protection locked="0"/>
    </xf>
    <xf numFmtId="0" fontId="26" fillId="0" borderId="4" xfId="0" applyFont="1" applyBorder="1" applyAlignment="1" applyProtection="1">
      <alignment horizontal="left" wrapText="1"/>
      <protection locked="0"/>
    </xf>
    <xf numFmtId="168" fontId="26" fillId="0" borderId="0" xfId="1833" applyNumberFormat="1" applyFont="1" applyAlignment="1" applyProtection="1">
      <alignment horizontal="left"/>
      <protection locked="0"/>
    </xf>
    <xf numFmtId="168" fontId="26" fillId="0" borderId="5" xfId="1833" applyNumberFormat="1" applyFont="1" applyBorder="1" applyAlignment="1" applyProtection="1">
      <alignment horizontal="left"/>
      <protection locked="0"/>
    </xf>
    <xf numFmtId="0" fontId="33" fillId="0" borderId="6" xfId="0" applyFont="1" applyBorder="1" applyAlignment="1" applyProtection="1">
      <alignment horizontal="left" wrapText="1"/>
      <protection locked="0"/>
    </xf>
    <xf numFmtId="168" fontId="33" fillId="0" borderId="45" xfId="1833" applyNumberFormat="1" applyFont="1" applyBorder="1" applyAlignment="1" applyProtection="1">
      <alignment horizontal="left"/>
      <protection locked="0"/>
    </xf>
    <xf numFmtId="168" fontId="26" fillId="0" borderId="7" xfId="1833" applyNumberFormat="1" applyFont="1" applyBorder="1" applyAlignment="1" applyProtection="1">
      <alignment horizontal="left"/>
      <protection locked="0"/>
    </xf>
    <xf numFmtId="0" fontId="26" fillId="5" borderId="2" xfId="0" applyFont="1" applyFill="1" applyBorder="1" applyProtection="1">
      <protection locked="0"/>
    </xf>
    <xf numFmtId="0" fontId="0" fillId="5" borderId="5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26" fillId="5" borderId="4" xfId="0" applyFont="1" applyFill="1" applyBorder="1" applyProtection="1">
      <protection locked="0"/>
    </xf>
    <xf numFmtId="0" fontId="0" fillId="5" borderId="0" xfId="0" applyFill="1" applyProtection="1">
      <protection locked="0"/>
    </xf>
    <xf numFmtId="0" fontId="0" fillId="5" borderId="5" xfId="0" applyFill="1" applyBorder="1" applyProtection="1">
      <protection locked="0"/>
    </xf>
    <xf numFmtId="0" fontId="26" fillId="18" borderId="4" xfId="0" applyFont="1" applyFill="1" applyBorder="1" applyAlignment="1" applyProtection="1">
      <alignment horizontal="left"/>
      <protection locked="0"/>
    </xf>
    <xf numFmtId="0" fontId="0" fillId="18" borderId="0" xfId="0" applyFill="1" applyAlignment="1" applyProtection="1">
      <alignment horizontal="left"/>
      <protection locked="0"/>
    </xf>
    <xf numFmtId="0" fontId="0" fillId="18" borderId="5" xfId="0" applyFill="1" applyBorder="1" applyProtection="1">
      <protection locked="0"/>
    </xf>
    <xf numFmtId="0" fontId="0" fillId="0" borderId="4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8" fontId="0" fillId="0" borderId="0" xfId="1833" applyNumberFormat="1" applyFont="1" applyAlignment="1" applyProtection="1">
      <alignment horizontal="left"/>
      <protection locked="0"/>
    </xf>
    <xf numFmtId="170" fontId="0" fillId="0" borderId="5" xfId="1833" applyNumberFormat="1" applyFont="1" applyBorder="1" applyAlignment="1" applyProtection="1">
      <alignment horizontal="left"/>
      <protection locked="0"/>
    </xf>
    <xf numFmtId="168" fontId="18" fillId="0" borderId="0" xfId="1833" applyNumberFormat="1" applyFont="1" applyAlignment="1" applyProtection="1">
      <alignment horizontal="left"/>
      <protection locked="0"/>
    </xf>
    <xf numFmtId="168" fontId="0" fillId="0" borderId="5" xfId="1833" applyNumberFormat="1" applyFont="1" applyBorder="1" applyAlignment="1" applyProtection="1">
      <alignment horizontal="left"/>
      <protection locked="0"/>
    </xf>
    <xf numFmtId="0" fontId="33" fillId="0" borderId="6" xfId="0" applyFont="1" applyBorder="1" applyAlignment="1" applyProtection="1">
      <alignment horizontal="left"/>
      <protection locked="0"/>
    </xf>
    <xf numFmtId="168" fontId="99" fillId="0" borderId="45" xfId="1833" applyNumberFormat="1" applyFont="1" applyBorder="1" applyAlignment="1" applyProtection="1">
      <alignment horizontal="left"/>
      <protection locked="0"/>
    </xf>
    <xf numFmtId="168" fontId="99" fillId="0" borderId="7" xfId="1833" applyNumberFormat="1" applyFont="1" applyBorder="1" applyAlignment="1" applyProtection="1">
      <alignment horizontal="left"/>
      <protection locked="0"/>
    </xf>
    <xf numFmtId="0" fontId="29" fillId="0" borderId="2" xfId="0" applyFont="1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 wrapText="1"/>
      <protection locked="0"/>
    </xf>
    <xf numFmtId="0" fontId="29" fillId="0" borderId="6" xfId="0" applyFont="1" applyBorder="1" applyAlignment="1" applyProtection="1">
      <alignment horizontal="left"/>
      <protection locked="0"/>
    </xf>
    <xf numFmtId="1" fontId="98" fillId="0" borderId="7" xfId="0" applyNumberFormat="1" applyFont="1" applyBorder="1" applyAlignment="1" applyProtection="1">
      <alignment horizontal="left" vertical="top" indent="6"/>
      <protection locked="0"/>
    </xf>
    <xf numFmtId="0" fontId="0" fillId="0" borderId="1" xfId="0" applyBorder="1" applyProtection="1">
      <protection locked="0"/>
    </xf>
    <xf numFmtId="171" fontId="0" fillId="0" borderId="1" xfId="1839" applyNumberFormat="1" applyFont="1" applyBorder="1" applyProtection="1">
      <protection locked="0"/>
    </xf>
    <xf numFmtId="0" fontId="0" fillId="0" borderId="0" xfId="0" applyProtection="1">
      <protection locked="0"/>
    </xf>
    <xf numFmtId="171" fontId="0" fillId="0" borderId="0" xfId="1839" applyNumberFormat="1" applyFont="1" applyProtection="1">
      <protection locked="0"/>
    </xf>
    <xf numFmtId="0" fontId="26" fillId="0" borderId="0" xfId="0" applyFont="1" applyProtection="1">
      <protection locked="0"/>
    </xf>
    <xf numFmtId="9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2" fontId="26" fillId="0" borderId="0" xfId="0" applyNumberFormat="1" applyFont="1" applyProtection="1">
      <protection locked="0"/>
    </xf>
    <xf numFmtId="0" fontId="39" fillId="0" borderId="0" xfId="0" applyFont="1" applyAlignment="1" applyProtection="1">
      <alignment wrapText="1"/>
      <protection locked="0"/>
    </xf>
    <xf numFmtId="2" fontId="0" fillId="0" borderId="0" xfId="0" applyNumberFormat="1" applyProtection="1">
      <protection locked="0"/>
    </xf>
    <xf numFmtId="44" fontId="0" fillId="0" borderId="0" xfId="1839" applyFont="1" applyProtection="1">
      <protection locked="0"/>
    </xf>
    <xf numFmtId="0" fontId="26" fillId="5" borderId="2" xfId="0" applyFont="1" applyFill="1" applyBorder="1" applyAlignment="1" applyProtection="1">
      <alignment horizontal="left"/>
      <protection locked="0"/>
    </xf>
    <xf numFmtId="168" fontId="19" fillId="0" borderId="5" xfId="1833" applyNumberFormat="1" applyBorder="1" applyAlignment="1" applyProtection="1">
      <alignment horizontal="left"/>
      <protection locked="0"/>
    </xf>
    <xf numFmtId="9" fontId="0" fillId="0" borderId="0" xfId="1554" applyNumberFormat="1" applyFont="1" applyAlignment="1" applyProtection="1">
      <alignment horizontal="center" vertical="center" wrapText="1"/>
      <protection locked="0"/>
    </xf>
    <xf numFmtId="9" fontId="0" fillId="0" borderId="0" xfId="1554" applyFont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left" wrapText="1"/>
      <protection locked="0"/>
    </xf>
    <xf numFmtId="2" fontId="0" fillId="0" borderId="7" xfId="0" applyNumberFormat="1" applyBorder="1" applyProtection="1">
      <protection locked="0"/>
    </xf>
    <xf numFmtId="0" fontId="0" fillId="0" borderId="45" xfId="0" applyBorder="1" applyProtection="1">
      <protection locked="0"/>
    </xf>
    <xf numFmtId="0" fontId="26" fillId="5" borderId="50" xfId="0" applyFont="1" applyFill="1" applyBorder="1" applyAlignment="1" applyProtection="1">
      <alignment horizontal="left"/>
      <protection locked="0"/>
    </xf>
    <xf numFmtId="0" fontId="26" fillId="5" borderId="0" xfId="0" applyFont="1" applyFill="1" applyAlignment="1" applyProtection="1">
      <alignment horizontal="left"/>
      <protection locked="0"/>
    </xf>
    <xf numFmtId="0" fontId="26" fillId="5" borderId="3" xfId="0" applyFont="1" applyFill="1" applyBorder="1" applyAlignment="1" applyProtection="1">
      <alignment horizontal="left"/>
      <protection locked="0"/>
    </xf>
    <xf numFmtId="0" fontId="0" fillId="18" borderId="0" xfId="0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vertical="top" wrapText="1"/>
      <protection locked="0"/>
    </xf>
    <xf numFmtId="0" fontId="0" fillId="18" borderId="5" xfId="0" applyFill="1" applyBorder="1" applyAlignment="1" applyProtection="1">
      <alignment vertical="top" wrapText="1"/>
      <protection locked="0"/>
    </xf>
    <xf numFmtId="0" fontId="26" fillId="0" borderId="4" xfId="0" applyFont="1" applyBorder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0" fontId="0" fillId="0" borderId="5" xfId="0" applyBorder="1" applyProtection="1">
      <protection locked="0"/>
    </xf>
    <xf numFmtId="2" fontId="0" fillId="0" borderId="4" xfId="0" applyNumberFormat="1" applyBorder="1" applyProtection="1">
      <protection locked="0"/>
    </xf>
    <xf numFmtId="2" fontId="0" fillId="0" borderId="5" xfId="0" applyNumberFormat="1" applyBorder="1" applyProtection="1">
      <protection locked="0"/>
    </xf>
    <xf numFmtId="2" fontId="0" fillId="0" borderId="4" xfId="0" applyNumberFormat="1" applyBorder="1" applyAlignment="1" applyProtection="1">
      <alignment wrapText="1"/>
      <protection locked="0"/>
    </xf>
    <xf numFmtId="2" fontId="0" fillId="0" borderId="0" xfId="0" applyNumberFormat="1" applyAlignment="1" applyProtection="1">
      <alignment wrapText="1"/>
      <protection locked="0"/>
    </xf>
    <xf numFmtId="2" fontId="0" fillId="0" borderId="6" xfId="0" applyNumberFormat="1" applyBorder="1" applyProtection="1">
      <protection locked="0"/>
    </xf>
    <xf numFmtId="2" fontId="0" fillId="0" borderId="45" xfId="0" applyNumberFormat="1" applyBorder="1" applyProtection="1">
      <protection locked="0"/>
    </xf>
    <xf numFmtId="0" fontId="91" fillId="0" borderId="0" xfId="0" applyFont="1" applyProtection="1">
      <protection locked="0"/>
    </xf>
    <xf numFmtId="0" fontId="0" fillId="0" borderId="2" xfId="0" applyBorder="1" applyProtection="1">
      <protection locked="0"/>
    </xf>
    <xf numFmtId="2" fontId="0" fillId="0" borderId="50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2" fontId="0" fillId="0" borderId="0" xfId="1554" applyNumberFormat="1" applyFont="1" applyProtection="1">
      <protection locked="0"/>
    </xf>
    <xf numFmtId="1" fontId="0" fillId="0" borderId="0" xfId="0" applyNumberFormat="1" applyProtection="1">
      <protection locked="0"/>
    </xf>
    <xf numFmtId="0" fontId="26" fillId="0" borderId="4" xfId="0" applyFont="1" applyBorder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1" fontId="0" fillId="0" borderId="4" xfId="0" applyNumberFormat="1" applyBorder="1" applyProtection="1">
      <protection locked="0"/>
    </xf>
    <xf numFmtId="1" fontId="0" fillId="0" borderId="5" xfId="0" applyNumberFormat="1" applyBorder="1" applyProtection="1">
      <protection locked="0"/>
    </xf>
    <xf numFmtId="0" fontId="26" fillId="0" borderId="6" xfId="0" applyFont="1" applyBorder="1" applyProtection="1">
      <protection locked="0"/>
    </xf>
    <xf numFmtId="1" fontId="0" fillId="0" borderId="45" xfId="0" applyNumberFormat="1" applyBorder="1" applyProtection="1">
      <protection locked="0"/>
    </xf>
    <xf numFmtId="1" fontId="0" fillId="0" borderId="7" xfId="0" applyNumberFormat="1" applyBorder="1" applyProtection="1">
      <protection locked="0"/>
    </xf>
    <xf numFmtId="0" fontId="33" fillId="6" borderId="2" xfId="0" applyFont="1" applyFill="1" applyBorder="1" applyAlignment="1" applyProtection="1">
      <alignment horizontal="center" vertical="center"/>
      <protection locked="0"/>
    </xf>
    <xf numFmtId="0" fontId="33" fillId="6" borderId="50" xfId="0" applyFont="1" applyFill="1" applyBorder="1" applyAlignment="1" applyProtection="1">
      <alignment horizontal="center" vertical="center"/>
      <protection locked="0"/>
    </xf>
    <xf numFmtId="0" fontId="33" fillId="6" borderId="71" xfId="0" applyFont="1" applyFill="1" applyBorder="1" applyAlignment="1" applyProtection="1">
      <alignment horizontal="center" vertical="center"/>
      <protection locked="0"/>
    </xf>
    <xf numFmtId="0" fontId="33" fillId="6" borderId="2" xfId="0" applyFont="1" applyFill="1" applyBorder="1" applyAlignment="1" applyProtection="1">
      <alignment horizontal="center" vertical="center" wrapText="1"/>
      <protection locked="0"/>
    </xf>
    <xf numFmtId="0" fontId="0" fillId="6" borderId="50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71" xfId="0" applyFill="1" applyBorder="1" applyAlignment="1" applyProtection="1">
      <alignment horizontal="center" vertical="center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45" xfId="0" applyFill="1" applyBorder="1" applyAlignment="1" applyProtection="1">
      <alignment horizontal="left" vertical="center"/>
      <protection locked="0"/>
    </xf>
    <xf numFmtId="0" fontId="0" fillId="6" borderId="7" xfId="0" applyFill="1" applyBorder="1" applyAlignment="1" applyProtection="1">
      <alignment horizontal="center" vertical="center"/>
      <protection locked="0"/>
    </xf>
    <xf numFmtId="0" fontId="29" fillId="6" borderId="45" xfId="0" applyFont="1" applyFill="1" applyBorder="1" applyAlignment="1" applyProtection="1">
      <alignment horizontal="center" vertical="center"/>
      <protection locked="0"/>
    </xf>
    <xf numFmtId="0" fontId="0" fillId="6" borderId="45" xfId="0" applyFill="1" applyBorder="1" applyAlignment="1" applyProtection="1">
      <alignment horizontal="center" vertical="center"/>
      <protection locked="0"/>
    </xf>
    <xf numFmtId="0" fontId="0" fillId="6" borderId="69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/>
      <protection locked="0"/>
    </xf>
    <xf numFmtId="2" fontId="0" fillId="6" borderId="5" xfId="0" applyNumberFormat="1" applyFill="1" applyBorder="1" applyAlignment="1" applyProtection="1">
      <alignment horizontal="center" vertical="center"/>
      <protection locked="0"/>
    </xf>
    <xf numFmtId="2" fontId="34" fillId="6" borderId="0" xfId="6" applyNumberFormat="1" applyFont="1" applyFill="1" applyAlignment="1" applyProtection="1">
      <alignment horizontal="center" vertical="center"/>
      <protection locked="0"/>
    </xf>
    <xf numFmtId="2" fontId="0" fillId="6" borderId="0" xfId="0" applyNumberFormat="1" applyFill="1" applyAlignment="1" applyProtection="1">
      <alignment horizontal="center" vertical="center"/>
      <protection locked="0"/>
    </xf>
    <xf numFmtId="1" fontId="34" fillId="6" borderId="66" xfId="6" applyNumberFormat="1" applyFont="1" applyFill="1" applyBorder="1" applyAlignment="1" applyProtection="1">
      <alignment horizontal="center" vertical="center"/>
      <protection locked="0"/>
    </xf>
    <xf numFmtId="0" fontId="0" fillId="6" borderId="56" xfId="0" applyFill="1" applyBorder="1" applyAlignment="1" applyProtection="1">
      <alignment horizontal="left" vertical="center"/>
      <protection locked="0"/>
    </xf>
    <xf numFmtId="0" fontId="0" fillId="6" borderId="22" xfId="0" applyFill="1" applyBorder="1" applyAlignment="1" applyProtection="1">
      <alignment horizontal="left" vertical="center"/>
      <protection locked="0"/>
    </xf>
    <xf numFmtId="0" fontId="0" fillId="6" borderId="60" xfId="0" applyFill="1" applyBorder="1" applyAlignment="1" applyProtection="1">
      <alignment horizontal="center" vertical="center"/>
      <protection locked="0"/>
    </xf>
    <xf numFmtId="2" fontId="0" fillId="6" borderId="22" xfId="0" applyNumberFormat="1" applyFill="1" applyBorder="1" applyAlignment="1" applyProtection="1">
      <alignment horizontal="center" vertical="center"/>
      <protection locked="0"/>
    </xf>
    <xf numFmtId="2" fontId="0" fillId="6" borderId="60" xfId="0" applyNumberFormat="1" applyFill="1" applyBorder="1" applyAlignment="1" applyProtection="1">
      <alignment horizontal="center" vertical="center"/>
      <protection locked="0"/>
    </xf>
    <xf numFmtId="0" fontId="33" fillId="6" borderId="76" xfId="0" applyFont="1" applyFill="1" applyBorder="1" applyAlignment="1" applyProtection="1">
      <alignment horizontal="left" vertical="center" wrapText="1"/>
      <protection locked="0"/>
    </xf>
    <xf numFmtId="0" fontId="0" fillId="6" borderId="59" xfId="0" applyFill="1" applyBorder="1" applyAlignment="1" applyProtection="1">
      <alignment horizontal="left" vertical="center"/>
      <protection locked="0"/>
    </xf>
    <xf numFmtId="2" fontId="0" fillId="6" borderId="74" xfId="0" applyNumberFormat="1" applyFill="1" applyBorder="1" applyAlignment="1" applyProtection="1">
      <alignment horizontal="center" vertical="center"/>
      <protection locked="0"/>
    </xf>
    <xf numFmtId="2" fontId="0" fillId="6" borderId="59" xfId="0" applyNumberFormat="1" applyFill="1" applyBorder="1" applyAlignment="1" applyProtection="1">
      <alignment horizontal="center" vertical="center"/>
      <protection locked="0"/>
    </xf>
    <xf numFmtId="1" fontId="34" fillId="6" borderId="68" xfId="6" applyNumberFormat="1" applyFont="1" applyFill="1" applyBorder="1" applyAlignment="1" applyProtection="1">
      <alignment horizontal="center" vertical="center"/>
      <protection locked="0"/>
    </xf>
    <xf numFmtId="0" fontId="69" fillId="6" borderId="52" xfId="0" applyFont="1" applyFill="1" applyBorder="1" applyAlignment="1" applyProtection="1">
      <alignment horizontal="center" vertical="center"/>
      <protection locked="0"/>
    </xf>
    <xf numFmtId="0" fontId="36" fillId="6" borderId="57" xfId="0" applyFont="1" applyFill="1" applyBorder="1" applyAlignment="1" applyProtection="1">
      <alignment horizontal="center" vertical="center"/>
      <protection locked="0"/>
    </xf>
    <xf numFmtId="0" fontId="36" fillId="6" borderId="53" xfId="0" applyFont="1" applyFill="1" applyBorder="1" applyAlignment="1" applyProtection="1">
      <alignment horizontal="center" vertical="center"/>
      <protection locked="0"/>
    </xf>
    <xf numFmtId="0" fontId="36" fillId="6" borderId="70" xfId="0" applyFont="1" applyFill="1" applyBorder="1" applyAlignment="1" applyProtection="1">
      <alignment horizontal="center" vertical="center"/>
      <protection locked="0"/>
    </xf>
    <xf numFmtId="0" fontId="33" fillId="6" borderId="4" xfId="0" applyFont="1" applyFill="1" applyBorder="1" applyAlignment="1" applyProtection="1">
      <alignment horizontal="left" vertical="center" wrapText="1"/>
      <protection locked="0"/>
    </xf>
    <xf numFmtId="0" fontId="0" fillId="6" borderId="5" xfId="0" applyFill="1" applyBorder="1" applyAlignment="1" applyProtection="1">
      <alignment horizontal="center" vertical="center"/>
      <protection locked="0"/>
    </xf>
    <xf numFmtId="0" fontId="0" fillId="6" borderId="66" xfId="0" applyFill="1" applyBorder="1" applyAlignment="1" applyProtection="1">
      <alignment horizontal="center" vertical="center"/>
      <protection locked="0"/>
    </xf>
    <xf numFmtId="0" fontId="34" fillId="6" borderId="45" xfId="0" applyFont="1" applyFill="1" applyBorder="1" applyAlignment="1" applyProtection="1">
      <alignment horizontal="center" vertical="center"/>
      <protection locked="0"/>
    </xf>
    <xf numFmtId="0" fontId="29" fillId="6" borderId="4" xfId="0" applyFont="1" applyFill="1" applyBorder="1" applyAlignment="1" applyProtection="1">
      <alignment horizontal="left" vertical="center" wrapText="1"/>
      <protection locked="0"/>
    </xf>
    <xf numFmtId="0" fontId="29" fillId="6" borderId="0" xfId="0" applyFont="1" applyFill="1" applyAlignment="1" applyProtection="1">
      <alignment horizontal="left" vertical="center"/>
      <protection locked="0"/>
    </xf>
    <xf numFmtId="2" fontId="29" fillId="6" borderId="5" xfId="0" applyNumberFormat="1" applyFont="1" applyFill="1" applyBorder="1" applyAlignment="1" applyProtection="1">
      <alignment horizontal="center" vertical="center"/>
      <protection locked="0"/>
    </xf>
    <xf numFmtId="2" fontId="29" fillId="6" borderId="0" xfId="6" applyNumberFormat="1" applyFont="1" applyFill="1" applyAlignment="1" applyProtection="1">
      <alignment horizontal="center" vertical="center"/>
      <protection locked="0"/>
    </xf>
    <xf numFmtId="2" fontId="29" fillId="6" borderId="0" xfId="0" applyNumberFormat="1" applyFont="1" applyFill="1" applyAlignment="1" applyProtection="1">
      <alignment horizontal="center" vertical="center"/>
      <protection locked="0"/>
    </xf>
    <xf numFmtId="1" fontId="29" fillId="6" borderId="66" xfId="6" applyNumberFormat="1" applyFont="1" applyFill="1" applyBorder="1" applyAlignment="1" applyProtection="1">
      <alignment horizontal="center" vertical="center"/>
      <protection locked="0"/>
    </xf>
    <xf numFmtId="0" fontId="29" fillId="6" borderId="56" xfId="0" applyFont="1" applyFill="1" applyBorder="1" applyAlignment="1" applyProtection="1">
      <alignment horizontal="left" vertical="center"/>
      <protection locked="0"/>
    </xf>
    <xf numFmtId="0" fontId="29" fillId="6" borderId="22" xfId="0" applyFont="1" applyFill="1" applyBorder="1" applyAlignment="1" applyProtection="1">
      <alignment horizontal="left" vertical="center"/>
      <protection locked="0"/>
    </xf>
    <xf numFmtId="2" fontId="29" fillId="6" borderId="60" xfId="0" applyNumberFormat="1" applyFont="1" applyFill="1" applyBorder="1" applyAlignment="1" applyProtection="1">
      <alignment horizontal="center" vertical="center"/>
      <protection locked="0"/>
    </xf>
    <xf numFmtId="2" fontId="29" fillId="6" borderId="22" xfId="0" applyNumberFormat="1" applyFont="1" applyFill="1" applyBorder="1" applyAlignment="1" applyProtection="1">
      <alignment horizontal="center" vertical="center"/>
      <protection locked="0"/>
    </xf>
    <xf numFmtId="0" fontId="29" fillId="6" borderId="59" xfId="0" applyFont="1" applyFill="1" applyBorder="1" applyAlignment="1" applyProtection="1">
      <alignment horizontal="left" vertical="center"/>
      <protection locked="0"/>
    </xf>
    <xf numFmtId="2" fontId="29" fillId="6" borderId="74" xfId="0" applyNumberFormat="1" applyFont="1" applyFill="1" applyBorder="1" applyAlignment="1" applyProtection="1">
      <alignment horizontal="center" vertical="center"/>
      <protection locked="0"/>
    </xf>
    <xf numFmtId="2" fontId="29" fillId="6" borderId="59" xfId="0" applyNumberFormat="1" applyFont="1" applyFill="1" applyBorder="1" applyAlignment="1" applyProtection="1">
      <alignment horizontal="center" vertical="center"/>
      <protection locked="0"/>
    </xf>
    <xf numFmtId="1" fontId="29" fillId="6" borderId="68" xfId="6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 vertical="center" wrapText="1"/>
      <protection locked="0"/>
    </xf>
    <xf numFmtId="2" fontId="26" fillId="0" borderId="1" xfId="0" applyNumberFormat="1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2" fontId="26" fillId="0" borderId="1" xfId="0" applyNumberFormat="1" applyFont="1" applyBorder="1" applyAlignment="1" applyProtection="1">
      <alignment horizontal="center" vertical="center"/>
      <protection locked="0"/>
    </xf>
    <xf numFmtId="2" fontId="29" fillId="0" borderId="1" xfId="0" applyNumberFormat="1" applyFont="1" applyBorder="1" applyAlignment="1" applyProtection="1">
      <alignment horizontal="center" vertical="center" wrapText="1"/>
      <protection locked="0"/>
    </xf>
    <xf numFmtId="0" fontId="26" fillId="5" borderId="2" xfId="0" applyFont="1" applyFill="1" applyBorder="1" applyAlignment="1" applyProtection="1">
      <alignment horizontal="left" vertical="center"/>
      <protection locked="0"/>
    </xf>
    <xf numFmtId="0" fontId="26" fillId="5" borderId="3" xfId="0" applyFont="1" applyFill="1" applyBorder="1" applyAlignment="1" applyProtection="1">
      <alignment horizontal="left" vertical="center"/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6" borderId="0" xfId="0" applyFill="1" applyProtection="1">
      <protection locked="0"/>
    </xf>
    <xf numFmtId="0" fontId="26" fillId="5" borderId="50" xfId="0" applyFont="1" applyFill="1" applyBorder="1" applyAlignment="1" applyProtection="1">
      <alignment horizontal="left" vertical="center"/>
      <protection locked="0"/>
    </xf>
    <xf numFmtId="0" fontId="26" fillId="5" borderId="4" xfId="0" applyFont="1" applyFill="1" applyBorder="1" applyAlignment="1" applyProtection="1">
      <alignment horizontal="left" vertical="center"/>
      <protection locked="0"/>
    </xf>
    <xf numFmtId="0" fontId="26" fillId="5" borderId="5" xfId="0" applyFont="1" applyFill="1" applyBorder="1" applyAlignment="1" applyProtection="1">
      <alignment horizontal="left" vertical="center"/>
      <protection locked="0"/>
    </xf>
    <xf numFmtId="0" fontId="35" fillId="6" borderId="0" xfId="0" applyFont="1" applyFill="1" applyAlignment="1" applyProtection="1">
      <alignment horizontal="left"/>
      <protection locked="0"/>
    </xf>
    <xf numFmtId="0" fontId="26" fillId="5" borderId="0" xfId="0" applyFont="1" applyFill="1" applyAlignment="1" applyProtection="1">
      <alignment horizontal="left" vertical="center"/>
      <protection locked="0"/>
    </xf>
    <xf numFmtId="0" fontId="68" fillId="18" borderId="4" xfId="0" applyFont="1" applyFill="1" applyBorder="1" applyProtection="1">
      <protection locked="0"/>
    </xf>
    <xf numFmtId="172" fontId="0" fillId="18" borderId="5" xfId="1833" applyNumberFormat="1" applyFont="1" applyFill="1" applyBorder="1" applyProtection="1">
      <protection locked="0"/>
    </xf>
    <xf numFmtId="2" fontId="35" fillId="6" borderId="0" xfId="0" applyNumberFormat="1" applyFont="1" applyFill="1" applyAlignment="1" applyProtection="1">
      <alignment horizontal="left"/>
      <protection locked="0"/>
    </xf>
    <xf numFmtId="0" fontId="26" fillId="18" borderId="4" xfId="0" applyFont="1" applyFill="1" applyBorder="1" applyAlignment="1" applyProtection="1">
      <alignment horizontal="left" vertical="center"/>
      <protection locked="0"/>
    </xf>
    <xf numFmtId="0" fontId="26" fillId="18" borderId="0" xfId="0" applyFont="1" applyFill="1" applyAlignment="1" applyProtection="1">
      <alignment horizontal="left" vertical="center"/>
      <protection locked="0"/>
    </xf>
    <xf numFmtId="0" fontId="26" fillId="18" borderId="5" xfId="0" applyFont="1" applyFill="1" applyBorder="1" applyAlignment="1" applyProtection="1">
      <alignment horizontal="left" vertical="center"/>
      <protection locked="0"/>
    </xf>
    <xf numFmtId="0" fontId="39" fillId="18" borderId="4" xfId="0" applyFont="1" applyFill="1" applyBorder="1" applyProtection="1">
      <protection locked="0"/>
    </xf>
    <xf numFmtId="174" fontId="0" fillId="18" borderId="5" xfId="1833" applyNumberFormat="1" applyFont="1" applyFill="1" applyBorder="1" applyProtection="1">
      <protection locked="0"/>
    </xf>
    <xf numFmtId="172" fontId="0" fillId="18" borderId="0" xfId="1833" applyNumberFormat="1" applyFont="1" applyFill="1" applyProtection="1">
      <protection locked="0"/>
    </xf>
    <xf numFmtId="166" fontId="39" fillId="18" borderId="5" xfId="0" applyNumberFormat="1" applyFont="1" applyFill="1" applyBorder="1" applyProtection="1">
      <protection locked="0"/>
    </xf>
    <xf numFmtId="0" fontId="39" fillId="6" borderId="4" xfId="0" applyFont="1" applyFill="1" applyBorder="1" applyProtection="1">
      <protection locked="0"/>
    </xf>
    <xf numFmtId="172" fontId="0" fillId="6" borderId="5" xfId="1833" applyNumberFormat="1" applyFont="1" applyFill="1" applyBorder="1" applyProtection="1">
      <protection locked="0"/>
    </xf>
    <xf numFmtId="0" fontId="26" fillId="6" borderId="4" xfId="0" applyFont="1" applyFill="1" applyBorder="1" applyAlignment="1" applyProtection="1">
      <alignment horizontal="left" vertical="center"/>
      <protection locked="0"/>
    </xf>
    <xf numFmtId="0" fontId="26" fillId="6" borderId="5" xfId="0" applyFont="1" applyFill="1" applyBorder="1" applyAlignment="1" applyProtection="1">
      <alignment horizontal="left" vertical="center"/>
      <protection locked="0"/>
    </xf>
    <xf numFmtId="174" fontId="0" fillId="6" borderId="0" xfId="1833" applyNumberFormat="1" applyFont="1" applyFill="1" applyProtection="1">
      <protection locked="0"/>
    </xf>
    <xf numFmtId="0" fontId="39" fillId="6" borderId="5" xfId="0" applyFont="1" applyFill="1" applyBorder="1" applyProtection="1">
      <protection locked="0"/>
    </xf>
    <xf numFmtId="0" fontId="68" fillId="6" borderId="4" xfId="0" applyFont="1" applyFill="1" applyBorder="1" applyProtection="1">
      <protection locked="0"/>
    </xf>
    <xf numFmtId="0" fontId="0" fillId="6" borderId="5" xfId="0" applyFill="1" applyBorder="1" applyProtection="1">
      <protection locked="0"/>
    </xf>
    <xf numFmtId="168" fontId="0" fillId="6" borderId="5" xfId="1833" applyNumberFormat="1" applyFont="1" applyFill="1" applyBorder="1" applyProtection="1">
      <protection locked="0"/>
    </xf>
    <xf numFmtId="0" fontId="39" fillId="6" borderId="4" xfId="0" quotePrefix="1" applyFont="1" applyFill="1" applyBorder="1" applyProtection="1">
      <protection locked="0"/>
    </xf>
    <xf numFmtId="2" fontId="0" fillId="6" borderId="0" xfId="0" applyNumberFormat="1" applyFill="1" applyProtection="1">
      <protection locked="0"/>
    </xf>
    <xf numFmtId="0" fontId="0" fillId="6" borderId="4" xfId="0" applyFill="1" applyBorder="1" applyProtection="1">
      <protection locked="0"/>
    </xf>
    <xf numFmtId="1" fontId="0" fillId="6" borderId="5" xfId="0" applyNumberFormat="1" applyFill="1" applyBorder="1" applyProtection="1">
      <protection locked="0"/>
    </xf>
    <xf numFmtId="1" fontId="0" fillId="6" borderId="5" xfId="1833" applyNumberFormat="1" applyFont="1" applyFill="1" applyBorder="1" applyProtection="1">
      <protection locked="0"/>
    </xf>
    <xf numFmtId="4" fontId="0" fillId="6" borderId="5" xfId="1833" applyNumberFormat="1" applyFont="1" applyFill="1" applyBorder="1" applyProtection="1">
      <protection locked="0"/>
    </xf>
    <xf numFmtId="167" fontId="0" fillId="6" borderId="0" xfId="0" applyNumberFormat="1" applyFill="1" applyProtection="1">
      <protection locked="0"/>
    </xf>
    <xf numFmtId="167" fontId="0" fillId="6" borderId="5" xfId="0" applyNumberFormat="1" applyFill="1" applyBorder="1" applyProtection="1">
      <protection locked="0"/>
    </xf>
    <xf numFmtId="9" fontId="0" fillId="6" borderId="5" xfId="1554" applyFont="1" applyFill="1" applyBorder="1" applyProtection="1">
      <protection locked="0"/>
    </xf>
    <xf numFmtId="2" fontId="68" fillId="6" borderId="4" xfId="0" applyNumberFormat="1" applyFont="1" applyFill="1" applyBorder="1" applyProtection="1">
      <protection locked="0"/>
    </xf>
    <xf numFmtId="2" fontId="0" fillId="6" borderId="5" xfId="1833" applyNumberFormat="1" applyFont="1" applyFill="1" applyBorder="1" applyProtection="1">
      <protection locked="0"/>
    </xf>
    <xf numFmtId="2" fontId="0" fillId="6" borderId="4" xfId="0" applyNumberFormat="1" applyFill="1" applyBorder="1" applyProtection="1">
      <protection locked="0"/>
    </xf>
    <xf numFmtId="0" fontId="32" fillId="6" borderId="4" xfId="0" applyFont="1" applyFill="1" applyBorder="1" applyProtection="1">
      <protection locked="0"/>
    </xf>
    <xf numFmtId="2" fontId="0" fillId="6" borderId="5" xfId="0" applyNumberFormat="1" applyFill="1" applyBorder="1" applyProtection="1">
      <protection locked="0"/>
    </xf>
    <xf numFmtId="43" fontId="0" fillId="6" borderId="5" xfId="1833" applyFont="1" applyFill="1" applyBorder="1" applyProtection="1">
      <protection locked="0"/>
    </xf>
    <xf numFmtId="1" fontId="0" fillId="6" borderId="0" xfId="0" applyNumberFormat="1" applyFill="1" applyProtection="1">
      <protection locked="0"/>
    </xf>
    <xf numFmtId="165" fontId="0" fillId="0" borderId="5" xfId="1554" applyNumberFormat="1" applyFont="1" applyBorder="1" applyProtection="1">
      <protection locked="0"/>
    </xf>
    <xf numFmtId="175" fontId="0" fillId="6" borderId="5" xfId="1833" applyNumberFormat="1" applyFont="1" applyFill="1" applyBorder="1" applyProtection="1">
      <protection locked="0"/>
    </xf>
    <xf numFmtId="168" fontId="39" fillId="6" borderId="5" xfId="1833" applyNumberFormat="1" applyFont="1" applyFill="1" applyBorder="1" applyProtection="1">
      <protection locked="0"/>
    </xf>
    <xf numFmtId="0" fontId="0" fillId="6" borderId="6" xfId="0" applyFill="1" applyBorder="1" applyProtection="1">
      <protection locked="0"/>
    </xf>
    <xf numFmtId="0" fontId="0" fillId="6" borderId="45" xfId="0" applyFill="1" applyBorder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0" fontId="0" fillId="6" borderId="4" xfId="0" applyFill="1" applyBorder="1" applyAlignment="1" applyProtection="1">
      <alignment wrapText="1"/>
      <protection locked="0"/>
    </xf>
    <xf numFmtId="168" fontId="0" fillId="6" borderId="7" xfId="1833" applyNumberFormat="1" applyFont="1" applyFill="1" applyBorder="1" applyProtection="1">
      <protection locked="0"/>
    </xf>
    <xf numFmtId="168" fontId="0" fillId="6" borderId="0" xfId="1833" applyNumberFormat="1" applyFont="1" applyFill="1" applyProtection="1">
      <protection locked="0"/>
    </xf>
    <xf numFmtId="0" fontId="0" fillId="6" borderId="0" xfId="0" applyFill="1" applyAlignment="1" applyProtection="1">
      <alignment wrapText="1"/>
      <protection locked="0"/>
    </xf>
    <xf numFmtId="1" fontId="26" fillId="6" borderId="0" xfId="0" applyNumberFormat="1" applyFont="1" applyFill="1" applyAlignment="1" applyProtection="1">
      <alignment horizontal="right" vertical="center"/>
      <protection locked="0"/>
    </xf>
    <xf numFmtId="1" fontId="26" fillId="6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4" xfId="0" applyNumberFormat="1" applyFill="1" applyBorder="1" applyAlignment="1" applyProtection="1">
      <alignment horizontal="left" vertical="center"/>
      <protection locked="0"/>
    </xf>
    <xf numFmtId="1" fontId="0" fillId="6" borderId="0" xfId="0" applyNumberFormat="1" applyFill="1" applyAlignment="1" applyProtection="1">
      <alignment horizontal="right" vertical="center"/>
      <protection locked="0"/>
    </xf>
    <xf numFmtId="1" fontId="0" fillId="6" borderId="5" xfId="0" applyNumberFormat="1" applyFill="1" applyBorder="1" applyAlignment="1" applyProtection="1">
      <alignment horizontal="right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right" vertical="center"/>
      <protection locked="0"/>
    </xf>
    <xf numFmtId="0" fontId="0" fillId="6" borderId="5" xfId="0" applyFill="1" applyBorder="1" applyAlignment="1" applyProtection="1">
      <alignment horizontal="right" vertical="center"/>
      <protection locked="0"/>
    </xf>
    <xf numFmtId="2" fontId="0" fillId="6" borderId="0" xfId="0" applyNumberFormat="1" applyFill="1" applyAlignment="1" applyProtection="1">
      <alignment horizontal="right" vertical="center"/>
      <protection locked="0"/>
    </xf>
    <xf numFmtId="2" fontId="0" fillId="6" borderId="5" xfId="0" applyNumberFormat="1" applyFill="1" applyBorder="1" applyAlignment="1" applyProtection="1">
      <alignment horizontal="right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2" fontId="26" fillId="6" borderId="0" xfId="0" applyNumberFormat="1" applyFont="1" applyFill="1" applyAlignment="1" applyProtection="1">
      <alignment horizontal="right" vertical="center"/>
      <protection locked="0"/>
    </xf>
    <xf numFmtId="2" fontId="26" fillId="6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6" xfId="0" applyNumberFormat="1" applyFill="1" applyBorder="1" applyAlignment="1" applyProtection="1">
      <alignment horizontal="left" vertical="center"/>
      <protection locked="0"/>
    </xf>
    <xf numFmtId="2" fontId="0" fillId="6" borderId="45" xfId="0" applyNumberFormat="1" applyFill="1" applyBorder="1" applyAlignment="1" applyProtection="1">
      <alignment horizontal="right" vertical="center"/>
      <protection locked="0"/>
    </xf>
    <xf numFmtId="2" fontId="0" fillId="6" borderId="7" xfId="0" applyNumberFormat="1" applyFill="1" applyBorder="1" applyAlignment="1" applyProtection="1">
      <alignment horizontal="right" vertical="center"/>
      <protection locked="0"/>
    </xf>
    <xf numFmtId="0" fontId="8" fillId="14" borderId="26" xfId="0" applyFont="1" applyFill="1" applyBorder="1" applyAlignment="1" applyProtection="1">
      <alignment horizontal="center" vertical="center" wrapText="1"/>
      <protection locked="0"/>
    </xf>
    <xf numFmtId="0" fontId="10" fillId="14" borderId="28" xfId="0" applyFont="1" applyFill="1" applyBorder="1" applyAlignment="1" applyProtection="1">
      <alignment horizontal="center" vertical="center" wrapText="1"/>
      <protection locked="0"/>
    </xf>
    <xf numFmtId="0" fontId="10" fillId="14" borderId="31" xfId="0" applyFont="1" applyFill="1" applyBorder="1" applyAlignment="1" applyProtection="1">
      <alignment horizontal="center" vertical="center" wrapText="1"/>
      <protection locked="0"/>
    </xf>
    <xf numFmtId="0" fontId="0" fillId="0" borderId="77" xfId="0" applyBorder="1" applyAlignment="1">
      <alignment horizontal="center" vertical="center" wrapText="1"/>
    </xf>
    <xf numFmtId="0" fontId="29" fillId="0" borderId="36" xfId="1" applyFont="1" applyFill="1" applyBorder="1" applyAlignment="1">
      <alignment horizontal="center" vertical="center" wrapText="1"/>
    </xf>
    <xf numFmtId="1" fontId="28" fillId="6" borderId="0" xfId="1" applyNumberFormat="1" applyFont="1" applyFill="1" applyBorder="1" applyAlignment="1" applyProtection="1">
      <alignment horizontal="center" vertical="center"/>
    </xf>
    <xf numFmtId="1" fontId="28" fillId="6" borderId="0" xfId="0" applyNumberFormat="1" applyFont="1" applyFill="1" applyBorder="1" applyAlignment="1" applyProtection="1">
      <alignment horizontal="center" vertical="center"/>
    </xf>
    <xf numFmtId="1" fontId="23" fillId="6" borderId="0" xfId="0" applyNumberFormat="1" applyFont="1" applyFill="1" applyBorder="1" applyAlignment="1" applyProtection="1">
      <alignment horizontal="center" vertical="center"/>
    </xf>
    <xf numFmtId="1" fontId="23" fillId="6" borderId="45" xfId="0" applyNumberFormat="1" applyFont="1" applyFill="1" applyBorder="1" applyAlignment="1" applyProtection="1">
      <alignment horizontal="center" vertical="center"/>
    </xf>
    <xf numFmtId="0" fontId="28" fillId="0" borderId="4" xfId="0" applyFont="1" applyBorder="1" applyAlignment="1" applyProtection="1">
      <alignment horizontal="lef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28" fillId="0" borderId="45" xfId="0" applyFont="1" applyBorder="1" applyAlignment="1" applyProtection="1">
      <alignment horizontal="left" vertical="center" wrapText="1"/>
      <protection locked="0"/>
    </xf>
    <xf numFmtId="0" fontId="29" fillId="14" borderId="0" xfId="0" applyFont="1" applyFill="1" applyProtection="1">
      <protection locked="0"/>
    </xf>
    <xf numFmtId="166" fontId="28" fillId="6" borderId="66" xfId="1" applyNumberFormat="1" applyFont="1" applyFill="1" applyBorder="1" applyAlignment="1" applyProtection="1">
      <alignment horizontal="center" vertical="center"/>
      <protection locked="0"/>
    </xf>
    <xf numFmtId="166" fontId="23" fillId="6" borderId="66" xfId="0" applyNumberFormat="1" applyFont="1" applyFill="1" applyBorder="1" applyAlignment="1" applyProtection="1">
      <alignment horizontal="center" vertical="center"/>
      <protection locked="0"/>
    </xf>
    <xf numFmtId="167" fontId="57" fillId="6" borderId="66" xfId="0" applyNumberFormat="1" applyFont="1" applyFill="1" applyBorder="1" applyAlignment="1" applyProtection="1">
      <alignment horizontal="center" vertical="center"/>
      <protection locked="0"/>
    </xf>
    <xf numFmtId="167" fontId="57" fillId="6" borderId="69" xfId="0" applyNumberFormat="1" applyFont="1" applyFill="1" applyBorder="1" applyAlignment="1" applyProtection="1">
      <alignment horizontal="center" vertical="center"/>
      <protection locked="0"/>
    </xf>
    <xf numFmtId="166" fontId="28" fillId="6" borderId="0" xfId="1" applyNumberFormat="1" applyFont="1" applyFill="1" applyBorder="1" applyAlignment="1" applyProtection="1">
      <alignment horizontal="center" vertical="center"/>
    </xf>
    <xf numFmtId="166" fontId="23" fillId="6" borderId="0" xfId="0" applyNumberFormat="1" applyFont="1" applyFill="1" applyBorder="1" applyAlignment="1" applyProtection="1">
      <alignment horizontal="center" vertical="center"/>
    </xf>
    <xf numFmtId="167" fontId="57" fillId="6" borderId="0" xfId="0" applyNumberFormat="1" applyFont="1" applyFill="1" applyBorder="1" applyAlignment="1" applyProtection="1">
      <alignment horizontal="center" vertical="center"/>
    </xf>
    <xf numFmtId="167" fontId="57" fillId="6" borderId="45" xfId="0" applyNumberFormat="1" applyFont="1" applyFill="1" applyBorder="1" applyAlignment="1" applyProtection="1">
      <alignment horizontal="center" vertical="center"/>
    </xf>
    <xf numFmtId="0" fontId="23" fillId="14" borderId="45" xfId="0" applyFont="1" applyFill="1" applyBorder="1" applyProtection="1">
      <protection locked="0"/>
    </xf>
    <xf numFmtId="0" fontId="29" fillId="14" borderId="79" xfId="0" applyFont="1" applyFill="1" applyBorder="1" applyProtection="1">
      <protection locked="0"/>
    </xf>
    <xf numFmtId="0" fontId="29" fillId="14" borderId="72" xfId="0" applyFont="1" applyFill="1" applyBorder="1" applyProtection="1">
      <protection locked="0"/>
    </xf>
    <xf numFmtId="0" fontId="29" fillId="14" borderId="10" xfId="0" applyFont="1" applyFill="1" applyBorder="1" applyProtection="1">
      <protection locked="0"/>
    </xf>
    <xf numFmtId="0" fontId="29" fillId="14" borderId="43" xfId="0" applyFont="1" applyFill="1" applyBorder="1" applyProtection="1">
      <protection locked="0"/>
    </xf>
    <xf numFmtId="0" fontId="29" fillId="14" borderId="66" xfId="0" applyFont="1" applyFill="1" applyBorder="1" applyProtection="1">
      <protection locked="0"/>
    </xf>
    <xf numFmtId="0" fontId="29" fillId="14" borderId="4" xfId="0" applyFont="1" applyFill="1" applyBorder="1" applyProtection="1">
      <protection locked="0"/>
    </xf>
    <xf numFmtId="0" fontId="29" fillId="14" borderId="0" xfId="0" applyFont="1" applyFill="1" applyBorder="1" applyProtection="1">
      <protection locked="0"/>
    </xf>
    <xf numFmtId="0" fontId="29" fillId="14" borderId="5" xfId="0" applyFont="1" applyFill="1" applyBorder="1" applyProtection="1">
      <protection locked="0"/>
    </xf>
    <xf numFmtId="0" fontId="29" fillId="14" borderId="69" xfId="0" applyFont="1" applyFill="1" applyBorder="1" applyProtection="1">
      <protection locked="0"/>
    </xf>
    <xf numFmtId="0" fontId="29" fillId="14" borderId="6" xfId="0" applyFont="1" applyFill="1" applyBorder="1" applyProtection="1">
      <protection locked="0"/>
    </xf>
    <xf numFmtId="0" fontId="29" fillId="14" borderId="45" xfId="0" applyFont="1" applyFill="1" applyBorder="1" applyProtection="1">
      <protection locked="0"/>
    </xf>
    <xf numFmtId="0" fontId="29" fillId="14" borderId="7" xfId="0" applyFont="1" applyFill="1" applyBorder="1" applyProtection="1">
      <protection locked="0"/>
    </xf>
    <xf numFmtId="0" fontId="0" fillId="0" borderId="50" xfId="0" applyBorder="1"/>
    <xf numFmtId="0" fontId="0" fillId="0" borderId="7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0" borderId="79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35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26" fillId="0" borderId="36" xfId="0" applyFont="1" applyBorder="1" applyAlignment="1">
      <alignment horizontal="center" vertical="center" wrapText="1"/>
    </xf>
    <xf numFmtId="2" fontId="0" fillId="0" borderId="28" xfId="0" applyNumberFormat="1" applyBorder="1" applyAlignment="1">
      <alignment horizontal="center" vertical="center"/>
    </xf>
    <xf numFmtId="0" fontId="26" fillId="0" borderId="36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2" fontId="29" fillId="0" borderId="12" xfId="0" applyNumberFormat="1" applyFont="1" applyBorder="1" applyProtection="1"/>
    <xf numFmtId="2" fontId="29" fillId="0" borderId="1" xfId="0" applyNumberFormat="1" applyFont="1" applyFill="1" applyBorder="1" applyProtection="1"/>
    <xf numFmtId="2" fontId="29" fillId="0" borderId="1" xfId="0" applyNumberFormat="1" applyFont="1" applyBorder="1" applyProtection="1"/>
    <xf numFmtId="2" fontId="103" fillId="0" borderId="12" xfId="0" applyNumberFormat="1" applyFont="1" applyFill="1" applyBorder="1" applyProtection="1"/>
    <xf numFmtId="0" fontId="29" fillId="0" borderId="12" xfId="0" applyFont="1" applyBorder="1" applyProtection="1">
      <protection locked="0"/>
    </xf>
    <xf numFmtId="0" fontId="29" fillId="0" borderId="1" xfId="0" applyFont="1" applyFill="1" applyBorder="1" applyProtection="1">
      <protection locked="0"/>
    </xf>
    <xf numFmtId="0" fontId="29" fillId="0" borderId="1" xfId="0" applyFont="1" applyBorder="1" applyProtection="1">
      <protection locked="0"/>
    </xf>
    <xf numFmtId="0" fontId="103" fillId="0" borderId="1" xfId="0" applyFont="1" applyFill="1" applyBorder="1" applyProtection="1">
      <protection locked="0"/>
    </xf>
    <xf numFmtId="166" fontId="32" fillId="14" borderId="1" xfId="0" applyNumberFormat="1" applyFont="1" applyFill="1" applyBorder="1" applyAlignment="1" applyProtection="1">
      <alignment vertical="center" wrapText="1"/>
      <protection locked="0"/>
    </xf>
    <xf numFmtId="2" fontId="0" fillId="0" borderId="1" xfId="0" applyNumberFormat="1" applyBorder="1" applyAlignment="1" applyProtection="1">
      <alignment horizontal="center" vertical="center"/>
    </xf>
    <xf numFmtId="2" fontId="29" fillId="0" borderId="1" xfId="0" applyNumberFormat="1" applyFont="1" applyFill="1" applyBorder="1" applyAlignment="1" applyProtection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wrapText="1"/>
    </xf>
    <xf numFmtId="0" fontId="0" fillId="20" borderId="0" xfId="0" applyFill="1" applyProtection="1">
      <protection locked="0"/>
    </xf>
    <xf numFmtId="0" fontId="0" fillId="0" borderId="0" xfId="0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2" fontId="26" fillId="4" borderId="0" xfId="0" applyNumberFormat="1" applyFont="1" applyFill="1"/>
    <xf numFmtId="1" fontId="29" fillId="14" borderId="1" xfId="0" applyNumberFormat="1" applyFont="1" applyFill="1" applyBorder="1" applyAlignment="1" applyProtection="1">
      <alignment horizontal="center" vertical="center"/>
      <protection locked="0"/>
    </xf>
    <xf numFmtId="1" fontId="29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165" fontId="28" fillId="6" borderId="0" xfId="1" applyNumberFormat="1" applyFont="1" applyFill="1" applyBorder="1" applyAlignment="1" applyProtection="1">
      <alignment horizontal="center" vertical="center"/>
      <protection locked="0"/>
    </xf>
    <xf numFmtId="1" fontId="28" fillId="6" borderId="0" xfId="0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/>
    <xf numFmtId="0" fontId="23" fillId="14" borderId="45" xfId="0" applyFont="1" applyFill="1" applyBorder="1"/>
    <xf numFmtId="0" fontId="23" fillId="14" borderId="0" xfId="6" applyFill="1" applyBorder="1"/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 applyProtection="1">
      <alignment horizontal="left" vertical="top"/>
      <protection locked="0"/>
    </xf>
    <xf numFmtId="0" fontId="26" fillId="5" borderId="50" xfId="0" applyFont="1" applyFill="1" applyBorder="1" applyAlignment="1" applyProtection="1">
      <alignment horizontal="left" vertical="top"/>
      <protection locked="0"/>
    </xf>
    <xf numFmtId="0" fontId="26" fillId="5" borderId="3" xfId="0" applyFont="1" applyFill="1" applyBorder="1" applyAlignment="1" applyProtection="1">
      <alignment horizontal="left" vertical="top"/>
      <protection locked="0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 applyProtection="1">
      <alignment horizontal="center" vertical="center"/>
      <protection locked="0"/>
    </xf>
    <xf numFmtId="0" fontId="29" fillId="6" borderId="50" xfId="0" applyFont="1" applyFill="1" applyBorder="1" applyAlignment="1" applyProtection="1">
      <alignment horizontal="center" vertical="center"/>
      <protection locked="0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left" vertical="top" wrapText="1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2" fontId="29" fillId="0" borderId="19" xfId="0" applyNumberFormat="1" applyFont="1" applyBorder="1" applyAlignment="1">
      <alignment horizontal="center" vertical="center" wrapText="1"/>
    </xf>
    <xf numFmtId="2" fontId="29" fillId="0" borderId="22" xfId="0" applyNumberFormat="1" applyFont="1" applyBorder="1" applyAlignment="1">
      <alignment horizontal="center" vertical="center" wrapText="1"/>
    </xf>
    <xf numFmtId="2" fontId="29" fillId="0" borderId="21" xfId="0" applyNumberFormat="1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center" wrapText="1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top" wrapText="1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49" fillId="0" borderId="1" xfId="0" applyFont="1" applyBorder="1" applyAlignment="1">
      <alignment horizontal="center" vertical="center" wrapText="1"/>
    </xf>
    <xf numFmtId="0" fontId="49" fillId="0" borderId="8" xfId="0" applyFont="1" applyBorder="1" applyAlignment="1">
      <alignment horizontal="left" vertical="top" wrapText="1"/>
    </xf>
    <xf numFmtId="0" fontId="49" fillId="0" borderId="17" xfId="0" applyFont="1" applyBorder="1" applyAlignment="1">
      <alignment horizontal="left" vertical="top" wrapText="1"/>
    </xf>
    <xf numFmtId="0" fontId="49" fillId="0" borderId="12" xfId="0" applyFont="1" applyBorder="1" applyAlignment="1">
      <alignment horizontal="left" vertical="top" wrapText="1"/>
    </xf>
    <xf numFmtId="0" fontId="29" fillId="0" borderId="19" xfId="0" applyFont="1" applyBorder="1" applyAlignment="1">
      <alignment horizontal="left"/>
    </xf>
    <xf numFmtId="0" fontId="29" fillId="0" borderId="22" xfId="0" applyFont="1" applyBorder="1" applyAlignment="1">
      <alignment horizontal="left"/>
    </xf>
    <xf numFmtId="0" fontId="29" fillId="0" borderId="21" xfId="0" applyFont="1" applyBorder="1" applyAlignment="1">
      <alignment horizontal="left"/>
    </xf>
    <xf numFmtId="2" fontId="29" fillId="0" borderId="19" xfId="0" applyNumberFormat="1" applyFont="1" applyBorder="1" applyAlignment="1">
      <alignment horizontal="center" vertical="center"/>
    </xf>
    <xf numFmtId="2" fontId="29" fillId="0" borderId="22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/>
    </xf>
    <xf numFmtId="2" fontId="29" fillId="0" borderId="22" xfId="0" applyNumberFormat="1" applyFont="1" applyBorder="1" applyAlignment="1">
      <alignment horizontal="center"/>
    </xf>
    <xf numFmtId="2" fontId="29" fillId="0" borderId="21" xfId="0" applyNumberFormat="1" applyFont="1" applyBorder="1" applyAlignment="1">
      <alignment horizontal="center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 wrapText="1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right" vertical="center" wrapText="1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Requirement and Feedbasket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2.1353912351270335E-2</c:v>
                </c:pt>
                <c:pt idx="2">
                  <c:v>0.14281401674252481</c:v>
                </c:pt>
                <c:pt idx="3">
                  <c:v>1.1626018946802739E-2</c:v>
                </c:pt>
                <c:pt idx="4">
                  <c:v>0.13642488044907855</c:v>
                </c:pt>
                <c:pt idx="5">
                  <c:v>0.34637518517370919</c:v>
                </c:pt>
                <c:pt idx="6">
                  <c:v>0</c:v>
                </c:pt>
                <c:pt idx="7">
                  <c:v>0.65859401366338566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9.1904995556462022E-3</c:v>
                </c:pt>
                <c:pt idx="2">
                  <c:v>5.9181456013620751E-2</c:v>
                </c:pt>
                <c:pt idx="3">
                  <c:v>5.6291809778332993E-2</c:v>
                </c:pt>
                <c:pt idx="4">
                  <c:v>0.82569143556480595</c:v>
                </c:pt>
                <c:pt idx="5">
                  <c:v>0.15528775111264279</c:v>
                </c:pt>
                <c:pt idx="6">
                  <c:v>0</c:v>
                </c:pt>
                <c:pt idx="7">
                  <c:v>1.1056429520250486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ser>
          <c:idx val="2"/>
          <c:order val="2"/>
          <c:tx>
            <c:strRef>
              <c:f>'Land requirements'!$E$3</c:f>
              <c:strCache>
                <c:ptCount val="1"/>
                <c:pt idx="0">
                  <c:v>Season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requirements'!$E$4:$E$11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/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Requirement and Feedbasket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2.1353912351270335E-2</c:v>
                </c:pt>
                <c:pt idx="2">
                  <c:v>0.14281401674252481</c:v>
                </c:pt>
                <c:pt idx="3">
                  <c:v>1.1626018946802739E-2</c:v>
                </c:pt>
                <c:pt idx="4">
                  <c:v>0.13642488044907855</c:v>
                </c:pt>
                <c:pt idx="5">
                  <c:v>0.34637518517370919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9.1904995556462022E-3</c:v>
                </c:pt>
                <c:pt idx="2">
                  <c:v>5.9181456013620751E-2</c:v>
                </c:pt>
                <c:pt idx="3">
                  <c:v>5.6291809778332993E-2</c:v>
                </c:pt>
                <c:pt idx="4">
                  <c:v>0.82569143556480595</c:v>
                </c:pt>
                <c:pt idx="5">
                  <c:v>0.15528775111264279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requirements'!$F$3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requirements'!$F$4:$F$11</c15:sqref>
                        </c15:fullRef>
                        <c15:formulaRef>
                          <c15:sqref>'Land requirements'!$F$4:$F$10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3.0544411906916535E-2</c:v>
                      </c:pt>
                      <c:pt idx="2">
                        <c:v>0.20199547275614554</c:v>
                      </c:pt>
                      <c:pt idx="3">
                        <c:v>6.7917828725135729E-2</c:v>
                      </c:pt>
                      <c:pt idx="4">
                        <c:v>0.96211631601388448</c:v>
                      </c:pt>
                      <c:pt idx="5">
                        <c:v>0.50166293628635195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-3.1628974605768931</c:v>
                </c:pt>
                <c:pt idx="2">
                  <c:v>-30.314811192162917</c:v>
                </c:pt>
                <c:pt idx="3">
                  <c:v>-12.852048216161496</c:v>
                </c:pt>
                <c:pt idx="4">
                  <c:v>6.4372159603786443</c:v>
                </c:pt>
                <c:pt idx="5">
                  <c:v>-61.445072340809425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16.94424361862367</c:v>
                </c:pt>
                <c:pt idx="2">
                  <c:v>20.799889997888318</c:v>
                </c:pt>
                <c:pt idx="3">
                  <c:v>17.784708988287573</c:v>
                </c:pt>
                <c:pt idx="4">
                  <c:v>46.022406568816287</c:v>
                </c:pt>
                <c:pt idx="5">
                  <c:v>11.281556814656719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20.107141079200563</c:v>
                </c:pt>
                <c:pt idx="2">
                  <c:v>51.114701190051235</c:v>
                </c:pt>
                <c:pt idx="3">
                  <c:v>30.636757204449069</c:v>
                </c:pt>
                <c:pt idx="4">
                  <c:v>39.585190608437642</c:v>
                </c:pt>
                <c:pt idx="5">
                  <c:v>72.726629155466142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Pennisetum purpureum - forage</c:v>
                </c:pt>
                <c:pt idx="2">
                  <c:v>Rhodes grass (Chloris gayana) - forage</c:v>
                </c:pt>
                <c:pt idx="3">
                  <c:v>Guatemala (Tripsacum andersonii) - forage</c:v>
                </c:pt>
                <c:pt idx="4">
                  <c:v>Maize (Zea mays) - stover</c:v>
                </c:pt>
                <c:pt idx="5">
                  <c:v>Naturally occuring pasture - green fodder 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40.878604602089965</c:v>
                </c:pt>
                <c:pt idx="2">
                  <c:v>270.33727437197479</c:v>
                </c:pt>
                <c:pt idx="3">
                  <c:v>90.896694110473305</c:v>
                </c:pt>
                <c:pt idx="4">
                  <c:v>735.30078752317138</c:v>
                </c:pt>
                <c:pt idx="5">
                  <c:v>439.45673218684425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0.44208770298385219</c:v>
                </c:pt>
                <c:pt idx="1">
                  <c:v>0</c:v>
                </c:pt>
                <c:pt idx="2">
                  <c:v>0.63057762153211983</c:v>
                </c:pt>
                <c:pt idx="3">
                  <c:v>3.4122400318547319</c:v>
                </c:pt>
                <c:pt idx="4">
                  <c:v>0</c:v>
                </c:pt>
                <c:pt idx="5">
                  <c:v>0</c:v>
                </c:pt>
                <c:pt idx="6">
                  <c:v>2.224757828078044E-3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9.0292697668769184E-2</c:v>
                </c:pt>
                <c:pt idx="1">
                  <c:v>0</c:v>
                </c:pt>
                <c:pt idx="2">
                  <c:v>0.43373379317942351</c:v>
                </c:pt>
                <c:pt idx="3">
                  <c:v>2.918314478757952</c:v>
                </c:pt>
                <c:pt idx="4">
                  <c:v>0</c:v>
                </c:pt>
                <c:pt idx="5">
                  <c:v>0</c:v>
                </c:pt>
                <c:pt idx="6">
                  <c:v>2.224757828078044E-3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3412.240031854732</c:v>
                </c:pt>
                <c:pt idx="1">
                  <c:v>79.354419345458894</c:v>
                </c:pt>
                <c:pt idx="2">
                  <c:v>433.05409821529071</c:v>
                </c:pt>
                <c:pt idx="3">
                  <c:v>118.16910397137025</c:v>
                </c:pt>
                <c:pt idx="4">
                  <c:v>373.61177629606726</c:v>
                </c:pt>
                <c:pt idx="5">
                  <c:v>68.475926687784892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2918.3144787579522</c:v>
                </c:pt>
                <c:pt idx="1">
                  <c:v>433.73379317942351</c:v>
                </c:pt>
                <c:pt idx="2">
                  <c:v>0</c:v>
                </c:pt>
                <c:pt idx="3">
                  <c:v>0</c:v>
                </c:pt>
                <c:pt idx="4">
                  <c:v>80.449271866831452</c:v>
                </c:pt>
                <c:pt idx="5">
                  <c:v>9.8434258019377232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1580622</xdr:colOff>
      <xdr:row>0</xdr:row>
      <xdr:rowOff>0</xdr:rowOff>
    </xdr:from>
    <xdr:to>
      <xdr:col>8</xdr:col>
      <xdr:colOff>345017</xdr:colOff>
      <xdr:row>12</xdr:row>
      <xdr:rowOff>180661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0722" y="0"/>
          <a:ext cx="4498445" cy="2692086"/>
        </a:xfrm>
        <a:prstGeom prst="rect">
          <a:avLst/>
        </a:prstGeom>
      </xdr:spPr>
    </xdr:pic>
    <xdr:clientData/>
  </xdr:twoCellAnchor>
  <xdr:twoCellAnchor editAs="oneCell">
    <xdr:from>
      <xdr:col>8</xdr:col>
      <xdr:colOff>874185</xdr:colOff>
      <xdr:row>1</xdr:row>
      <xdr:rowOff>28576</xdr:rowOff>
    </xdr:from>
    <xdr:to>
      <xdr:col>11</xdr:col>
      <xdr:colOff>324157</xdr:colOff>
      <xdr:row>10</xdr:row>
      <xdr:rowOff>85027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38335" y="238126"/>
          <a:ext cx="3679072" cy="1945576"/>
        </a:xfrm>
        <a:prstGeom prst="rect">
          <a:avLst/>
        </a:prstGeom>
      </xdr:spPr>
    </xdr:pic>
    <xdr:clientData/>
  </xdr:twoCellAnchor>
  <xdr:twoCellAnchor editAs="oneCell">
    <xdr:from>
      <xdr:col>11</xdr:col>
      <xdr:colOff>771525</xdr:colOff>
      <xdr:row>1</xdr:row>
      <xdr:rowOff>146050</xdr:rowOff>
    </xdr:from>
    <xdr:to>
      <xdr:col>12</xdr:col>
      <xdr:colOff>602193</xdr:colOff>
      <xdr:row>10</xdr:row>
      <xdr:rowOff>76351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964775" y="355600"/>
          <a:ext cx="1694393" cy="18162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103</xdr:row>
          <xdr:rowOff>95250</xdr:rowOff>
        </xdr:from>
        <xdr:to>
          <xdr:col>6</xdr:col>
          <xdr:colOff>800100</xdr:colOff>
          <xdr:row>107</xdr:row>
          <xdr:rowOff>171450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821531</xdr:colOff>
      <xdr:row>2</xdr:row>
      <xdr:rowOff>16669</xdr:rowOff>
    </xdr:from>
    <xdr:to>
      <xdr:col>16</xdr:col>
      <xdr:colOff>459581</xdr:colOff>
      <xdr:row>17</xdr:row>
      <xdr:rowOff>119063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819150</xdr:colOff>
      <xdr:row>18</xdr:row>
      <xdr:rowOff>171450</xdr:rowOff>
    </xdr:from>
    <xdr:to>
      <xdr:col>16</xdr:col>
      <xdr:colOff>457200</xdr:colOff>
      <xdr:row>34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15124</xdr:colOff>
      <xdr:row>23</xdr:row>
      <xdr:rowOff>112019</xdr:rowOff>
    </xdr:from>
    <xdr:to>
      <xdr:col>12</xdr:col>
      <xdr:colOff>758571</xdr:colOff>
      <xdr:row>46</xdr:row>
      <xdr:rowOff>123790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201785</xdr:colOff>
      <xdr:row>22</xdr:row>
      <xdr:rowOff>158374</xdr:rowOff>
    </xdr:from>
    <xdr:to>
      <xdr:col>21</xdr:col>
      <xdr:colOff>835139</xdr:colOff>
      <xdr:row>43</xdr:row>
      <xdr:rowOff>13607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backup/an2018/papers/VCs/2018_analysis/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oBackup/@CIAT/CRP%20@Livestock%20and%20Environment/@CLEANED/Kalkulator%20June%202017/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CGIAR/CLEANED/Vivien%20data%20WK_SAC/Dropbox%20folder/CLEANED_N_maybe%20still%20wrong/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4" totalsRowShown="0" headerRowDxfId="11" dataDxfId="9" headerRowBorderDxfId="10">
  <autoFilter ref="A2:I114"/>
  <sortState ref="A13:I114">
    <sortCondition ref="A2:A114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40"/>
  <sheetViews>
    <sheetView showGridLines="0" zoomScaleNormal="100" workbookViewId="0">
      <selection activeCell="E74" sqref="E74"/>
    </sheetView>
  </sheetViews>
  <sheetFormatPr defaultColWidth="10.875" defaultRowHeight="15.75"/>
  <cols>
    <col min="1" max="1" width="7" style="360" customWidth="1"/>
    <col min="2" max="2" width="42.375" style="361" customWidth="1"/>
    <col min="3" max="3" width="53.25" style="361" customWidth="1"/>
    <col min="4" max="4" width="27.875" style="360" customWidth="1"/>
    <col min="5" max="5" width="29.75" style="360" customWidth="1"/>
    <col min="6" max="6" width="30.75" style="360" customWidth="1"/>
    <col min="7" max="7" width="25.75" style="360" customWidth="1"/>
    <col min="8" max="8" width="18.625" style="360" customWidth="1"/>
    <col min="9" max="9" width="20.625" style="360" customWidth="1"/>
    <col min="10" max="10" width="16.125" style="360" customWidth="1"/>
    <col min="11" max="11" width="18.5" style="360" customWidth="1"/>
    <col min="12" max="12" width="24.375" style="360" customWidth="1"/>
    <col min="13" max="13" width="15" style="360" customWidth="1"/>
    <col min="14" max="14" width="17.5" style="360" customWidth="1"/>
    <col min="15" max="15" width="31.125" style="360" customWidth="1"/>
    <col min="16" max="16" width="15.5" style="360" customWidth="1"/>
    <col min="17" max="17" width="38" style="360" customWidth="1"/>
    <col min="18" max="18" width="30.375" style="360" customWidth="1"/>
    <col min="19" max="27" width="15.5" style="360" customWidth="1"/>
    <col min="28" max="31" width="10.875" style="360"/>
    <col min="32" max="32" width="35.5" style="360" customWidth="1"/>
    <col min="33" max="33" width="10.875" style="360"/>
    <col min="34" max="34" width="13.125" style="360" customWidth="1"/>
    <col min="35" max="16384" width="10.875" style="360"/>
  </cols>
  <sheetData>
    <row r="1" spans="1:17">
      <c r="B1" s="362" t="s">
        <v>1222</v>
      </c>
      <c r="C1" s="362"/>
      <c r="D1" s="359"/>
      <c r="E1" s="359"/>
      <c r="G1" s="72"/>
      <c r="H1" s="72"/>
      <c r="I1" s="72"/>
    </row>
    <row r="2" spans="1:17" ht="16.5" thickBot="1">
      <c r="A2" s="577"/>
      <c r="B2" s="116"/>
      <c r="C2" s="116"/>
      <c r="G2" s="72"/>
      <c r="H2" s="72"/>
      <c r="I2" s="72"/>
    </row>
    <row r="3" spans="1:17" ht="16.5" thickBot="1">
      <c r="A3" s="577"/>
      <c r="B3" s="116"/>
      <c r="C3" s="116"/>
      <c r="D3" s="1010" t="s">
        <v>69</v>
      </c>
      <c r="E3" s="1018" t="s">
        <v>96</v>
      </c>
      <c r="G3" s="72"/>
      <c r="H3" s="72"/>
      <c r="I3" s="72"/>
    </row>
    <row r="4" spans="1:17" ht="16.5" thickBot="1">
      <c r="A4" s="577"/>
      <c r="B4" s="116"/>
      <c r="C4" s="116"/>
      <c r="G4" s="72"/>
      <c r="H4" s="72"/>
      <c r="I4" s="72"/>
    </row>
    <row r="5" spans="1:17">
      <c r="A5" s="577"/>
      <c r="B5" s="1451" t="s">
        <v>1224</v>
      </c>
      <c r="C5" s="1094" t="s">
        <v>1223</v>
      </c>
      <c r="D5" s="1091" t="s">
        <v>77</v>
      </c>
      <c r="E5" s="370" t="s">
        <v>1140</v>
      </c>
      <c r="G5" s="72"/>
      <c r="H5" s="72"/>
      <c r="I5" s="72"/>
    </row>
    <row r="6" spans="1:17">
      <c r="A6" s="577"/>
      <c r="B6" s="1452"/>
      <c r="C6" s="1089" t="s">
        <v>1225</v>
      </c>
      <c r="D6" s="1092" t="s">
        <v>639</v>
      </c>
      <c r="E6" s="314" t="s">
        <v>1854</v>
      </c>
      <c r="G6" s="72"/>
      <c r="H6" s="72"/>
      <c r="I6" s="72"/>
    </row>
    <row r="7" spans="1:17" ht="16.5" thickBot="1">
      <c r="A7" s="577"/>
      <c r="B7" s="1453"/>
      <c r="C7" s="1093" t="s">
        <v>1857</v>
      </c>
      <c r="D7" s="599" t="s">
        <v>639</v>
      </c>
      <c r="E7" s="998" t="s">
        <v>1868</v>
      </c>
      <c r="G7" s="72"/>
      <c r="H7" s="72"/>
      <c r="I7" s="72"/>
    </row>
    <row r="8" spans="1:17" ht="16.5" thickBot="1">
      <c r="B8" s="360"/>
      <c r="C8" s="997"/>
      <c r="D8" s="378">
        <f>'Land requirements'!F11</f>
        <v>1.7642369656884345</v>
      </c>
      <c r="G8" s="72"/>
      <c r="H8" s="72"/>
      <c r="I8" s="72"/>
    </row>
    <row r="9" spans="1:17" ht="16.5" thickBot="1">
      <c r="B9" s="30"/>
      <c r="C9" s="1011"/>
      <c r="D9" s="365" t="s">
        <v>1816</v>
      </c>
      <c r="E9" s="997"/>
      <c r="G9" s="997"/>
    </row>
    <row r="10" spans="1:17">
      <c r="B10" s="360"/>
      <c r="C10" s="509" t="s">
        <v>1833</v>
      </c>
      <c r="D10" s="1102">
        <v>190</v>
      </c>
      <c r="E10" s="997"/>
      <c r="G10" s="997"/>
    </row>
    <row r="11" spans="1:17" ht="16.5" thickBot="1">
      <c r="B11" s="360"/>
      <c r="C11" s="1012" t="s">
        <v>819</v>
      </c>
      <c r="D11" s="1103">
        <v>175</v>
      </c>
      <c r="E11" s="997"/>
      <c r="G11" s="997"/>
    </row>
    <row r="12" spans="1:17" ht="16.5" thickBot="1">
      <c r="B12" s="360"/>
      <c r="C12" s="1012" t="s">
        <v>1835</v>
      </c>
      <c r="D12" s="1103">
        <v>0</v>
      </c>
      <c r="E12" s="30"/>
      <c r="F12" s="152"/>
      <c r="G12" s="152"/>
      <c r="H12" s="167"/>
      <c r="I12" s="167"/>
    </row>
    <row r="13" spans="1:17">
      <c r="B13" s="683"/>
      <c r="C13" s="1013"/>
      <c r="D13" s="1013">
        <f>SUM(D10:D12)</f>
        <v>365</v>
      </c>
      <c r="E13" s="30"/>
      <c r="F13" s="152"/>
      <c r="G13" s="152"/>
      <c r="H13" s="167"/>
      <c r="I13" s="167"/>
    </row>
    <row r="14" spans="1:17">
      <c r="B14" s="362" t="s">
        <v>829</v>
      </c>
      <c r="C14" s="359"/>
      <c r="D14" s="359"/>
      <c r="E14" s="363"/>
      <c r="F14" s="359"/>
      <c r="G14" s="359"/>
      <c r="H14" s="359"/>
      <c r="I14" s="359"/>
      <c r="J14" s="359"/>
      <c r="K14" s="359"/>
      <c r="L14" s="359"/>
      <c r="M14" s="359"/>
      <c r="N14" s="359"/>
      <c r="O14" s="359"/>
      <c r="P14" s="359"/>
      <c r="Q14" s="359"/>
    </row>
    <row r="15" spans="1:17" ht="16.5" thickBot="1"/>
    <row r="16" spans="1:17" s="361" customFormat="1" ht="79.5" customHeight="1">
      <c r="B16" s="1454" t="s">
        <v>1051</v>
      </c>
      <c r="C16" s="366"/>
      <c r="D16" s="609" t="s">
        <v>1185</v>
      </c>
      <c r="E16" s="724" t="s">
        <v>1490</v>
      </c>
      <c r="F16" s="975" t="s">
        <v>1491</v>
      </c>
      <c r="G16" s="979"/>
      <c r="H16" s="980" t="s">
        <v>1046</v>
      </c>
      <c r="I16" s="777" t="s">
        <v>1563</v>
      </c>
      <c r="J16" s="1044" t="s">
        <v>1047</v>
      </c>
      <c r="K16" s="610" t="s">
        <v>1048</v>
      </c>
      <c r="L16" s="610" t="s">
        <v>1594</v>
      </c>
      <c r="M16" s="833" t="s">
        <v>1049</v>
      </c>
      <c r="N16" s="778" t="s">
        <v>1564</v>
      </c>
      <c r="O16" s="515" t="s">
        <v>1132</v>
      </c>
      <c r="P16" s="368"/>
      <c r="Q16" s="611" t="s">
        <v>1050</v>
      </c>
    </row>
    <row r="17" spans="1:17">
      <c r="A17" s="369"/>
      <c r="B17" s="1455"/>
      <c r="C17" s="1104" t="s">
        <v>1814</v>
      </c>
      <c r="D17" s="316">
        <v>2</v>
      </c>
      <c r="E17" s="725">
        <v>1525</v>
      </c>
      <c r="F17" s="976">
        <v>0</v>
      </c>
      <c r="G17" s="899"/>
      <c r="H17" s="318">
        <v>1</v>
      </c>
      <c r="I17" s="319">
        <v>0</v>
      </c>
      <c r="J17" s="317">
        <v>0</v>
      </c>
      <c r="K17" s="317">
        <v>0</v>
      </c>
      <c r="L17" s="317">
        <v>0</v>
      </c>
      <c r="M17" s="318">
        <v>1</v>
      </c>
      <c r="N17" s="319">
        <v>0</v>
      </c>
      <c r="O17" s="317">
        <v>0</v>
      </c>
      <c r="P17" s="999"/>
      <c r="Q17" s="1045">
        <v>0</v>
      </c>
    </row>
    <row r="18" spans="1:17">
      <c r="B18" s="1455"/>
      <c r="C18" s="1104" t="s">
        <v>1018</v>
      </c>
      <c r="D18" s="316">
        <v>3</v>
      </c>
      <c r="E18" s="316">
        <v>0</v>
      </c>
      <c r="F18" s="976">
        <v>156</v>
      </c>
      <c r="G18" s="899"/>
      <c r="H18" s="318">
        <v>1</v>
      </c>
      <c r="I18" s="319">
        <v>0</v>
      </c>
      <c r="J18" s="317">
        <v>0</v>
      </c>
      <c r="K18" s="317">
        <v>0</v>
      </c>
      <c r="L18" s="317">
        <v>0</v>
      </c>
      <c r="M18" s="318">
        <v>1</v>
      </c>
      <c r="N18" s="319">
        <v>0</v>
      </c>
      <c r="O18" s="317">
        <v>0</v>
      </c>
      <c r="P18" s="999"/>
      <c r="Q18" s="1045">
        <v>0.9</v>
      </c>
    </row>
    <row r="19" spans="1:17">
      <c r="B19" s="1455"/>
      <c r="C19" s="1104"/>
      <c r="D19" s="316">
        <v>0</v>
      </c>
      <c r="E19" s="316">
        <v>0</v>
      </c>
      <c r="F19" s="976">
        <v>0</v>
      </c>
      <c r="G19" s="899"/>
      <c r="H19" s="318">
        <v>0</v>
      </c>
      <c r="I19" s="319">
        <v>0</v>
      </c>
      <c r="J19" s="317">
        <v>0</v>
      </c>
      <c r="K19" s="317">
        <v>0</v>
      </c>
      <c r="L19" s="317">
        <v>0</v>
      </c>
      <c r="M19" s="318">
        <v>0</v>
      </c>
      <c r="N19" s="319">
        <v>0</v>
      </c>
      <c r="O19" s="317">
        <v>0</v>
      </c>
      <c r="P19" s="999"/>
      <c r="Q19" s="1045">
        <v>0</v>
      </c>
    </row>
    <row r="20" spans="1:17">
      <c r="B20" s="1455"/>
      <c r="C20" s="1104"/>
      <c r="D20" s="316">
        <v>0</v>
      </c>
      <c r="E20" s="316">
        <v>0</v>
      </c>
      <c r="F20" s="976">
        <v>0</v>
      </c>
      <c r="G20" s="899"/>
      <c r="H20" s="318">
        <v>0</v>
      </c>
      <c r="I20" s="319">
        <v>0</v>
      </c>
      <c r="J20" s="317">
        <v>0</v>
      </c>
      <c r="K20" s="317">
        <v>0</v>
      </c>
      <c r="L20" s="317">
        <v>0</v>
      </c>
      <c r="M20" s="318">
        <v>0</v>
      </c>
      <c r="N20" s="319">
        <v>0</v>
      </c>
      <c r="O20" s="317">
        <v>0</v>
      </c>
      <c r="P20" s="999"/>
      <c r="Q20" s="1045">
        <v>0</v>
      </c>
    </row>
    <row r="21" spans="1:17">
      <c r="B21" s="1455"/>
      <c r="C21" s="1104"/>
      <c r="D21" s="316">
        <v>0</v>
      </c>
      <c r="E21" s="316">
        <v>0</v>
      </c>
      <c r="F21" s="976">
        <v>0</v>
      </c>
      <c r="G21" s="899"/>
      <c r="H21" s="318">
        <v>0</v>
      </c>
      <c r="I21" s="319">
        <v>0</v>
      </c>
      <c r="J21" s="317">
        <v>0</v>
      </c>
      <c r="K21" s="317">
        <v>0</v>
      </c>
      <c r="L21" s="317">
        <v>0</v>
      </c>
      <c r="M21" s="318">
        <v>0</v>
      </c>
      <c r="N21" s="319">
        <v>0</v>
      </c>
      <c r="O21" s="317">
        <v>0</v>
      </c>
      <c r="P21" s="999"/>
      <c r="Q21" s="1045">
        <v>0</v>
      </c>
    </row>
    <row r="22" spans="1:17">
      <c r="B22" s="1455"/>
      <c r="C22" s="1104"/>
      <c r="D22" s="316">
        <v>0</v>
      </c>
      <c r="E22" s="316">
        <v>0</v>
      </c>
      <c r="F22" s="976">
        <v>0</v>
      </c>
      <c r="G22" s="899"/>
      <c r="H22" s="318">
        <v>0</v>
      </c>
      <c r="I22" s="319">
        <v>0</v>
      </c>
      <c r="J22" s="317">
        <v>0</v>
      </c>
      <c r="K22" s="317">
        <v>0</v>
      </c>
      <c r="L22" s="317">
        <v>0</v>
      </c>
      <c r="M22" s="318">
        <v>0</v>
      </c>
      <c r="N22" s="319">
        <v>0</v>
      </c>
      <c r="O22" s="317">
        <v>0</v>
      </c>
      <c r="P22" s="999"/>
      <c r="Q22" s="1045">
        <v>0</v>
      </c>
    </row>
    <row r="23" spans="1:17">
      <c r="B23" s="1455"/>
      <c r="C23" s="1104"/>
      <c r="D23" s="316">
        <v>0</v>
      </c>
      <c r="E23" s="316">
        <v>0</v>
      </c>
      <c r="F23" s="976">
        <v>0</v>
      </c>
      <c r="G23" s="899"/>
      <c r="H23" s="318">
        <v>0</v>
      </c>
      <c r="I23" s="319">
        <v>0</v>
      </c>
      <c r="J23" s="317">
        <v>0</v>
      </c>
      <c r="K23" s="317">
        <v>0</v>
      </c>
      <c r="L23" s="317">
        <v>0</v>
      </c>
      <c r="M23" s="318">
        <v>0</v>
      </c>
      <c r="N23" s="319">
        <v>0</v>
      </c>
      <c r="O23" s="317">
        <v>0</v>
      </c>
      <c r="P23" s="999"/>
      <c r="Q23" s="1045">
        <v>0</v>
      </c>
    </row>
    <row r="24" spans="1:17">
      <c r="B24" s="1455"/>
      <c r="C24" s="1104"/>
      <c r="D24" s="316">
        <v>0</v>
      </c>
      <c r="E24" s="316">
        <v>0</v>
      </c>
      <c r="F24" s="976">
        <v>0</v>
      </c>
      <c r="G24" s="899"/>
      <c r="H24" s="318">
        <v>0</v>
      </c>
      <c r="I24" s="319">
        <v>0</v>
      </c>
      <c r="J24" s="317">
        <v>0</v>
      </c>
      <c r="K24" s="317">
        <v>0</v>
      </c>
      <c r="L24" s="317">
        <v>0</v>
      </c>
      <c r="M24" s="318">
        <v>0</v>
      </c>
      <c r="N24" s="319">
        <v>0</v>
      </c>
      <c r="O24" s="317">
        <v>0</v>
      </c>
      <c r="P24" s="999"/>
      <c r="Q24" s="1045">
        <v>0</v>
      </c>
    </row>
    <row r="25" spans="1:17">
      <c r="B25" s="1455"/>
      <c r="C25" s="1104"/>
      <c r="D25" s="889">
        <v>0</v>
      </c>
      <c r="E25" s="889">
        <v>0</v>
      </c>
      <c r="F25" s="900">
        <v>0</v>
      </c>
      <c r="G25" s="899"/>
      <c r="H25" s="318">
        <v>0</v>
      </c>
      <c r="I25" s="319">
        <v>0</v>
      </c>
      <c r="J25" s="317">
        <v>0</v>
      </c>
      <c r="K25" s="317">
        <v>0</v>
      </c>
      <c r="L25" s="891">
        <v>0</v>
      </c>
      <c r="M25" s="318">
        <v>0</v>
      </c>
      <c r="N25" s="890">
        <v>0</v>
      </c>
      <c r="O25" s="891">
        <v>0</v>
      </c>
      <c r="P25" s="999"/>
      <c r="Q25" s="1046">
        <v>0</v>
      </c>
    </row>
    <row r="26" spans="1:17">
      <c r="B26" s="1000"/>
      <c r="C26" s="1104"/>
      <c r="D26" s="889">
        <v>0</v>
      </c>
      <c r="E26" s="889">
        <v>0</v>
      </c>
      <c r="F26" s="900">
        <v>0</v>
      </c>
      <c r="G26" s="899"/>
      <c r="H26" s="318">
        <v>0</v>
      </c>
      <c r="I26" s="319">
        <v>0</v>
      </c>
      <c r="J26" s="317">
        <v>0</v>
      </c>
      <c r="K26" s="317">
        <v>0</v>
      </c>
      <c r="L26" s="891">
        <v>0</v>
      </c>
      <c r="M26" s="318">
        <v>0</v>
      </c>
      <c r="N26" s="890">
        <v>0</v>
      </c>
      <c r="O26" s="891">
        <v>0</v>
      </c>
      <c r="P26" s="999"/>
      <c r="Q26" s="1046">
        <v>0</v>
      </c>
    </row>
    <row r="27" spans="1:17">
      <c r="B27" s="1000"/>
      <c r="C27" s="1104"/>
      <c r="D27" s="889">
        <v>0</v>
      </c>
      <c r="E27" s="889">
        <v>0</v>
      </c>
      <c r="F27" s="900">
        <v>0</v>
      </c>
      <c r="G27" s="899"/>
      <c r="H27" s="318">
        <v>0</v>
      </c>
      <c r="I27" s="319">
        <v>0</v>
      </c>
      <c r="J27" s="317">
        <v>0</v>
      </c>
      <c r="K27" s="317">
        <v>0</v>
      </c>
      <c r="L27" s="891">
        <v>0</v>
      </c>
      <c r="M27" s="318">
        <v>0</v>
      </c>
      <c r="N27" s="890">
        <v>0</v>
      </c>
      <c r="O27" s="891">
        <v>0</v>
      </c>
      <c r="P27" s="999"/>
      <c r="Q27" s="1046">
        <v>0</v>
      </c>
    </row>
    <row r="28" spans="1:17">
      <c r="B28" s="1000"/>
      <c r="C28" s="1104"/>
      <c r="D28" s="889">
        <v>0</v>
      </c>
      <c r="E28" s="889">
        <v>0</v>
      </c>
      <c r="F28" s="900">
        <v>0</v>
      </c>
      <c r="G28" s="899"/>
      <c r="H28" s="318">
        <v>0</v>
      </c>
      <c r="I28" s="319">
        <v>0</v>
      </c>
      <c r="J28" s="317">
        <v>0</v>
      </c>
      <c r="K28" s="317">
        <v>0</v>
      </c>
      <c r="L28" s="891">
        <v>0</v>
      </c>
      <c r="M28" s="318">
        <v>0</v>
      </c>
      <c r="N28" s="890">
        <v>0</v>
      </c>
      <c r="O28" s="891">
        <v>0</v>
      </c>
      <c r="P28" s="999"/>
      <c r="Q28" s="1046">
        <v>0</v>
      </c>
    </row>
    <row r="29" spans="1:17">
      <c r="B29" s="1000"/>
      <c r="C29" s="1104"/>
      <c r="D29" s="889">
        <v>0</v>
      </c>
      <c r="E29" s="889">
        <v>0</v>
      </c>
      <c r="F29" s="900">
        <v>0</v>
      </c>
      <c r="G29" s="899"/>
      <c r="H29" s="318">
        <v>0</v>
      </c>
      <c r="I29" s="319">
        <v>0</v>
      </c>
      <c r="J29" s="317">
        <v>0</v>
      </c>
      <c r="K29" s="317">
        <v>0</v>
      </c>
      <c r="L29" s="891">
        <v>0</v>
      </c>
      <c r="M29" s="318">
        <v>0</v>
      </c>
      <c r="N29" s="890">
        <v>0</v>
      </c>
      <c r="O29" s="891">
        <v>0</v>
      </c>
      <c r="P29" s="999"/>
      <c r="Q29" s="1046">
        <v>0</v>
      </c>
    </row>
    <row r="30" spans="1:17" ht="16.5" thickBot="1">
      <c r="B30" s="1001"/>
      <c r="C30" s="1105"/>
      <c r="D30" s="1002">
        <v>0</v>
      </c>
      <c r="E30" s="1002">
        <v>0</v>
      </c>
      <c r="F30" s="901">
        <v>0</v>
      </c>
      <c r="G30" s="1003"/>
      <c r="H30" s="1004">
        <v>0</v>
      </c>
      <c r="I30" s="766">
        <v>0</v>
      </c>
      <c r="J30" s="770">
        <v>0</v>
      </c>
      <c r="K30" s="770">
        <v>0</v>
      </c>
      <c r="L30" s="770">
        <v>0</v>
      </c>
      <c r="M30" s="1004">
        <v>0</v>
      </c>
      <c r="N30" s="766">
        <v>0</v>
      </c>
      <c r="O30" s="770">
        <v>0</v>
      </c>
      <c r="P30" s="1005"/>
      <c r="Q30" s="1047">
        <v>0</v>
      </c>
    </row>
    <row r="31" spans="1:17" ht="16.5" thickBot="1"/>
    <row r="32" spans="1:17" ht="46.5" customHeight="1">
      <c r="B32" s="1456" t="s">
        <v>1598</v>
      </c>
      <c r="C32" s="977"/>
      <c r="D32" s="229" t="s">
        <v>1599</v>
      </c>
      <c r="E32" s="152"/>
      <c r="F32" s="152"/>
      <c r="G32" s="152"/>
      <c r="H32" s="152"/>
      <c r="I32" s="152"/>
      <c r="J32" s="152"/>
    </row>
    <row r="33" spans="1:10" ht="19.5" customHeight="1">
      <c r="A33" s="369"/>
      <c r="B33" s="1457"/>
      <c r="C33" s="13" t="s">
        <v>1053</v>
      </c>
      <c r="D33" s="976" t="s">
        <v>456</v>
      </c>
      <c r="E33" s="834"/>
      <c r="F33" s="834"/>
      <c r="G33" s="834"/>
      <c r="H33" s="834"/>
      <c r="I33" s="834"/>
      <c r="J33" s="834"/>
    </row>
    <row r="34" spans="1:10">
      <c r="B34" s="1457"/>
      <c r="C34" s="13" t="s">
        <v>1054</v>
      </c>
      <c r="D34" s="976" t="s">
        <v>121</v>
      </c>
      <c r="E34" s="834"/>
      <c r="F34" s="834"/>
      <c r="G34" s="834"/>
      <c r="H34" s="834"/>
      <c r="I34" s="834"/>
      <c r="J34" s="834"/>
    </row>
    <row r="35" spans="1:10" ht="16.5" customHeight="1" thickBot="1">
      <c r="B35" s="1458"/>
      <c r="C35" s="978" t="s">
        <v>1055</v>
      </c>
      <c r="D35" s="901" t="s">
        <v>452</v>
      </c>
      <c r="E35" s="834"/>
      <c r="F35" s="834"/>
      <c r="G35" s="834"/>
      <c r="H35" s="834"/>
      <c r="I35" s="834"/>
      <c r="J35" s="834"/>
    </row>
    <row r="36" spans="1:10" ht="16.5" thickBot="1">
      <c r="B36" s="612"/>
      <c r="C36" s="612"/>
      <c r="D36" s="612"/>
      <c r="E36" s="613"/>
    </row>
    <row r="37" spans="1:10" ht="15.75" customHeight="1">
      <c r="B37" s="1469" t="s">
        <v>1052</v>
      </c>
      <c r="C37" s="1091"/>
      <c r="D37" s="370" t="s">
        <v>1057</v>
      </c>
    </row>
    <row r="38" spans="1:10">
      <c r="A38" s="614"/>
      <c r="B38" s="1470"/>
      <c r="C38" s="776" t="s">
        <v>128</v>
      </c>
      <c r="D38" s="616">
        <v>0</v>
      </c>
      <c r="E38" s="614"/>
    </row>
    <row r="39" spans="1:10" ht="30.75" customHeight="1">
      <c r="A39" s="614"/>
      <c r="B39" s="1470"/>
      <c r="C39" s="776" t="s">
        <v>1562</v>
      </c>
      <c r="D39" s="616">
        <v>0</v>
      </c>
      <c r="E39" s="614"/>
    </row>
    <row r="40" spans="1:10">
      <c r="A40" s="614"/>
      <c r="B40" s="1470"/>
      <c r="C40" s="615" t="s">
        <v>129</v>
      </c>
      <c r="D40" s="616">
        <v>4.66</v>
      </c>
      <c r="E40" s="614"/>
    </row>
    <row r="41" spans="1:10">
      <c r="A41" s="614"/>
      <c r="B41" s="1470"/>
      <c r="C41" s="615" t="s">
        <v>130</v>
      </c>
      <c r="D41" s="616">
        <v>0</v>
      </c>
      <c r="E41" s="614"/>
    </row>
    <row r="42" spans="1:10" ht="16.5" thickBot="1">
      <c r="A42" s="614"/>
      <c r="B42" s="1471"/>
      <c r="C42" s="617" t="s">
        <v>131</v>
      </c>
      <c r="D42" s="618">
        <v>0</v>
      </c>
      <c r="E42" s="614"/>
    </row>
    <row r="43" spans="1:10" ht="16.5" thickBot="1">
      <c r="A43" s="614"/>
      <c r="B43" s="613"/>
      <c r="C43" s="613"/>
      <c r="D43" s="619"/>
      <c r="E43" s="614"/>
      <c r="F43" s="372"/>
    </row>
    <row r="44" spans="1:10" ht="15" customHeight="1" thickBot="1">
      <c r="B44" s="72"/>
      <c r="C44" s="72"/>
      <c r="D44" s="702" t="s">
        <v>1344</v>
      </c>
      <c r="E44" s="365" t="s">
        <v>1436</v>
      </c>
      <c r="F44" s="372"/>
    </row>
    <row r="45" spans="1:10" ht="15.75" customHeight="1">
      <c r="B45" s="1466" t="s">
        <v>1435</v>
      </c>
      <c r="C45" s="373" t="s">
        <v>1480</v>
      </c>
      <c r="D45" s="315">
        <v>3</v>
      </c>
      <c r="E45" s="315">
        <v>3</v>
      </c>
      <c r="F45" s="398"/>
    </row>
    <row r="46" spans="1:10">
      <c r="B46" s="1467"/>
      <c r="C46" s="374" t="s">
        <v>1092</v>
      </c>
      <c r="D46" s="575">
        <v>3</v>
      </c>
      <c r="E46" s="575">
        <v>3</v>
      </c>
      <c r="F46" s="398"/>
    </row>
    <row r="47" spans="1:10">
      <c r="B47" s="1467"/>
      <c r="C47" s="374" t="s">
        <v>1093</v>
      </c>
      <c r="D47" s="575">
        <v>5</v>
      </c>
      <c r="E47" s="575">
        <v>5</v>
      </c>
      <c r="F47" s="398"/>
    </row>
    <row r="48" spans="1:10">
      <c r="B48" s="1467"/>
      <c r="C48" s="374" t="s">
        <v>1186</v>
      </c>
      <c r="D48" s="575">
        <v>2</v>
      </c>
      <c r="E48" s="575">
        <v>2</v>
      </c>
      <c r="F48" s="398"/>
    </row>
    <row r="49" spans="1:46" ht="16.5" thickBot="1">
      <c r="B49" s="1468"/>
      <c r="C49" s="375" t="s">
        <v>127</v>
      </c>
      <c r="D49" s="376">
        <f>(1-((100-D45)/100*(100-D46)/100*(100-D47)/100*(100-D48)/100))*100</f>
        <v>12.402209999999991</v>
      </c>
      <c r="E49" s="376">
        <f>(1-((100-E45)/100*(100-E46)/100*(100-E47)/100*(100-E48)/100))*100</f>
        <v>12.402209999999991</v>
      </c>
      <c r="F49" s="398"/>
    </row>
    <row r="50" spans="1:46">
      <c r="A50" s="614"/>
      <c r="B50" s="613"/>
      <c r="C50" s="613"/>
      <c r="D50" s="614"/>
      <c r="E50" s="619"/>
      <c r="F50" s="397"/>
      <c r="N50" s="307"/>
    </row>
    <row r="51" spans="1:46">
      <c r="B51" s="362" t="s">
        <v>1068</v>
      </c>
      <c r="C51" s="359"/>
      <c r="D51" s="359"/>
      <c r="E51" s="363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62"/>
      <c r="R51" s="359"/>
      <c r="S51" s="359"/>
      <c r="T51" s="363"/>
      <c r="U51" s="359"/>
      <c r="V51" s="359"/>
      <c r="W51" s="359"/>
      <c r="X51" s="359"/>
      <c r="Y51" s="359"/>
      <c r="Z51" s="359"/>
      <c r="AA51" s="359"/>
      <c r="AB51" s="359"/>
      <c r="AC51" s="359"/>
      <c r="AD51" s="359"/>
      <c r="AE51" s="359"/>
    </row>
    <row r="52" spans="1:46" ht="16.5" thickBot="1">
      <c r="B52" s="360"/>
      <c r="D52" s="741"/>
      <c r="E52" s="307"/>
      <c r="O52" s="12"/>
      <c r="P52" s="741"/>
      <c r="Y52" s="12"/>
      <c r="Z52" s="12"/>
      <c r="AA52" s="12"/>
    </row>
    <row r="53" spans="1:46" ht="16.5" thickBot="1">
      <c r="B53" s="1011" t="s">
        <v>1831</v>
      </c>
      <c r="D53" s="741"/>
      <c r="E53" s="307"/>
      <c r="O53" s="12"/>
      <c r="P53" s="741"/>
      <c r="R53" s="1011" t="s">
        <v>1832</v>
      </c>
      <c r="Y53" s="12"/>
      <c r="Z53" s="12"/>
      <c r="AA53" s="12"/>
      <c r="AG53" s="1065" t="s">
        <v>1834</v>
      </c>
      <c r="AH53" s="365"/>
      <c r="AN53" s="12"/>
      <c r="AO53" s="12"/>
      <c r="AP53" s="12"/>
    </row>
    <row r="54" spans="1:46" ht="16.5" thickBot="1">
      <c r="B54" s="360"/>
      <c r="D54" s="741"/>
      <c r="E54" s="307"/>
      <c r="O54" s="12"/>
      <c r="P54" s="741"/>
      <c r="Y54" s="12"/>
      <c r="Z54" s="12"/>
      <c r="AA54" s="12"/>
      <c r="AN54" s="12"/>
      <c r="AO54" s="12"/>
      <c r="AP54" s="12"/>
    </row>
    <row r="55" spans="1:46" ht="32.25" thickBot="1">
      <c r="B55" s="785"/>
      <c r="C55" s="786" t="str">
        <f>C17</f>
        <v>Cows (improved)</v>
      </c>
      <c r="D55" s="786" t="str">
        <f>C18</f>
        <v>Steers/heifers</v>
      </c>
      <c r="E55" s="786">
        <f>C19</f>
        <v>0</v>
      </c>
      <c r="F55" s="786">
        <f>C20</f>
        <v>0</v>
      </c>
      <c r="G55" s="786">
        <f>C21</f>
        <v>0</v>
      </c>
      <c r="H55" s="786">
        <f>C22</f>
        <v>0</v>
      </c>
      <c r="I55" s="786">
        <f>C23</f>
        <v>0</v>
      </c>
      <c r="J55" s="786">
        <f>C24</f>
        <v>0</v>
      </c>
      <c r="K55" s="892">
        <f>C25</f>
        <v>0</v>
      </c>
      <c r="L55" s="892">
        <f>C26</f>
        <v>0</v>
      </c>
      <c r="M55" s="892">
        <f>C27</f>
        <v>0</v>
      </c>
      <c r="N55" s="892">
        <f>C28</f>
        <v>0</v>
      </c>
      <c r="O55" s="892">
        <f>C29</f>
        <v>0</v>
      </c>
      <c r="P55" s="787">
        <f>C30</f>
        <v>0</v>
      </c>
      <c r="Q55" s="30"/>
      <c r="R55" s="788" t="str">
        <f>C55</f>
        <v>Cows (improved)</v>
      </c>
      <c r="S55" s="786" t="str">
        <f>D55</f>
        <v>Steers/heifers</v>
      </c>
      <c r="T55" s="786">
        <f t="shared" ref="T55:Z55" si="0">E55</f>
        <v>0</v>
      </c>
      <c r="U55" s="786">
        <f t="shared" si="0"/>
        <v>0</v>
      </c>
      <c r="V55" s="786">
        <f t="shared" si="0"/>
        <v>0</v>
      </c>
      <c r="W55" s="786">
        <f t="shared" si="0"/>
        <v>0</v>
      </c>
      <c r="X55" s="786">
        <f t="shared" si="0"/>
        <v>0</v>
      </c>
      <c r="Y55" s="786">
        <f t="shared" si="0"/>
        <v>0</v>
      </c>
      <c r="Z55" s="892">
        <f t="shared" si="0"/>
        <v>0</v>
      </c>
      <c r="AA55" s="892">
        <f t="shared" ref="AA55:AB55" si="1">L55</f>
        <v>0</v>
      </c>
      <c r="AB55" s="892">
        <f t="shared" si="1"/>
        <v>0</v>
      </c>
      <c r="AC55" s="787">
        <f>N55</f>
        <v>0</v>
      </c>
      <c r="AD55" s="787">
        <f>O55</f>
        <v>0</v>
      </c>
      <c r="AE55" s="787">
        <f>P55</f>
        <v>0</v>
      </c>
      <c r="AG55" s="788" t="str">
        <f>R55</f>
        <v>Cows (improved)</v>
      </c>
      <c r="AH55" s="786" t="str">
        <f>S55</f>
        <v>Steers/heifers</v>
      </c>
      <c r="AI55" s="786">
        <f t="shared" ref="AI55" si="2">T55</f>
        <v>0</v>
      </c>
      <c r="AJ55" s="786">
        <f t="shared" ref="AJ55" si="3">U55</f>
        <v>0</v>
      </c>
      <c r="AK55" s="786">
        <f t="shared" ref="AK55" si="4">V55</f>
        <v>0</v>
      </c>
      <c r="AL55" s="786">
        <f t="shared" ref="AL55" si="5">W55</f>
        <v>0</v>
      </c>
      <c r="AM55" s="786">
        <f t="shared" ref="AM55" si="6">X55</f>
        <v>0</v>
      </c>
      <c r="AN55" s="786">
        <f t="shared" ref="AN55" si="7">Y55</f>
        <v>0</v>
      </c>
      <c r="AO55" s="892">
        <f t="shared" ref="AO55" si="8">Z55</f>
        <v>0</v>
      </c>
      <c r="AP55" s="892">
        <f t="shared" ref="AP55" si="9">AA55</f>
        <v>0</v>
      </c>
      <c r="AQ55" s="892">
        <f t="shared" ref="AQ55" si="10">AB55</f>
        <v>0</v>
      </c>
      <c r="AR55" s="787">
        <f>AC55</f>
        <v>0</v>
      </c>
      <c r="AS55" s="787">
        <f>AD55</f>
        <v>0</v>
      </c>
      <c r="AT55" s="787">
        <f>AE55</f>
        <v>0</v>
      </c>
    </row>
    <row r="56" spans="1:46" ht="34.5" customHeight="1">
      <c r="B56" s="783" t="s">
        <v>1618</v>
      </c>
      <c r="C56" s="784">
        <v>0.05</v>
      </c>
      <c r="D56" s="784">
        <v>0.05</v>
      </c>
      <c r="E56" s="784">
        <v>0</v>
      </c>
      <c r="F56" s="784">
        <v>0</v>
      </c>
      <c r="G56" s="784">
        <v>0</v>
      </c>
      <c r="H56" s="784">
        <v>0</v>
      </c>
      <c r="I56" s="784">
        <v>0</v>
      </c>
      <c r="J56" s="784">
        <v>0</v>
      </c>
      <c r="K56" s="784">
        <v>0</v>
      </c>
      <c r="L56" s="784">
        <v>0</v>
      </c>
      <c r="M56" s="784">
        <v>0</v>
      </c>
      <c r="N56" s="784">
        <v>0</v>
      </c>
      <c r="O56" s="784">
        <v>0</v>
      </c>
      <c r="P56" s="784">
        <v>0</v>
      </c>
      <c r="Q56" s="1073" t="str">
        <f t="shared" ref="Q56:Q62" si="11">B56</f>
        <v>Concentrate (commercial)</v>
      </c>
      <c r="R56" s="784">
        <v>0.08</v>
      </c>
      <c r="S56" s="784">
        <v>0.08</v>
      </c>
      <c r="T56" s="784">
        <v>0</v>
      </c>
      <c r="U56" s="784">
        <v>0</v>
      </c>
      <c r="V56" s="784">
        <v>0</v>
      </c>
      <c r="W56" s="784">
        <v>0</v>
      </c>
      <c r="X56" s="784">
        <v>0</v>
      </c>
      <c r="Y56" s="784">
        <v>0</v>
      </c>
      <c r="Z56" s="784">
        <v>0</v>
      </c>
      <c r="AA56" s="784">
        <v>0</v>
      </c>
      <c r="AB56" s="784">
        <v>0</v>
      </c>
      <c r="AC56" s="784">
        <v>0</v>
      </c>
      <c r="AD56" s="784">
        <v>0</v>
      </c>
      <c r="AE56" s="784">
        <v>0</v>
      </c>
      <c r="AF56" s="1064" t="str">
        <f t="shared" ref="AF56:AF62" si="12">Q56</f>
        <v>Concentrate (commercial)</v>
      </c>
      <c r="AG56" s="784">
        <v>0</v>
      </c>
      <c r="AH56" s="784">
        <v>0</v>
      </c>
      <c r="AI56" s="784">
        <v>0</v>
      </c>
      <c r="AJ56" s="784">
        <v>0</v>
      </c>
      <c r="AK56" s="784">
        <v>0</v>
      </c>
      <c r="AL56" s="784">
        <v>0</v>
      </c>
      <c r="AM56" s="784">
        <v>0</v>
      </c>
      <c r="AN56" s="784">
        <v>0</v>
      </c>
      <c r="AO56" s="784">
        <v>0</v>
      </c>
      <c r="AP56" s="784">
        <v>0</v>
      </c>
      <c r="AQ56" s="784">
        <v>0</v>
      </c>
      <c r="AR56" s="784">
        <v>0</v>
      </c>
      <c r="AS56" s="784">
        <v>0</v>
      </c>
      <c r="AT56" s="784">
        <v>0</v>
      </c>
    </row>
    <row r="57" spans="1:46" ht="34.5" customHeight="1">
      <c r="B57" s="783" t="s">
        <v>1719</v>
      </c>
      <c r="C57" s="320">
        <v>0.15</v>
      </c>
      <c r="D57" s="320">
        <v>0.15</v>
      </c>
      <c r="E57" s="320">
        <v>0</v>
      </c>
      <c r="F57" s="320">
        <v>0</v>
      </c>
      <c r="G57" s="320">
        <v>0</v>
      </c>
      <c r="H57" s="320">
        <v>0</v>
      </c>
      <c r="I57" s="320">
        <v>0</v>
      </c>
      <c r="J57" s="320">
        <v>0</v>
      </c>
      <c r="K57" s="320">
        <v>0</v>
      </c>
      <c r="L57" s="320">
        <v>0</v>
      </c>
      <c r="M57" s="320">
        <v>0</v>
      </c>
      <c r="N57" s="320">
        <v>0</v>
      </c>
      <c r="O57" s="320">
        <v>0</v>
      </c>
      <c r="P57" s="320">
        <v>0</v>
      </c>
      <c r="Q57" s="1073" t="str">
        <f t="shared" si="11"/>
        <v>Pennisetum purpureum - forage</v>
      </c>
      <c r="R57" s="320">
        <v>0.08</v>
      </c>
      <c r="S57" s="320">
        <v>0.08</v>
      </c>
      <c r="T57" s="320">
        <v>0</v>
      </c>
      <c r="U57" s="320">
        <v>0</v>
      </c>
      <c r="V57" s="320">
        <v>0</v>
      </c>
      <c r="W57" s="320">
        <v>0</v>
      </c>
      <c r="X57" s="320">
        <v>0</v>
      </c>
      <c r="Y57" s="320">
        <v>0</v>
      </c>
      <c r="Z57" s="320">
        <v>0</v>
      </c>
      <c r="AA57" s="320">
        <v>0</v>
      </c>
      <c r="AB57" s="320">
        <v>0</v>
      </c>
      <c r="AC57" s="320">
        <v>0</v>
      </c>
      <c r="AD57" s="320">
        <v>0</v>
      </c>
      <c r="AE57" s="320">
        <v>0</v>
      </c>
      <c r="AF57" s="1064" t="str">
        <f t="shared" si="12"/>
        <v>Pennisetum purpureum - forage</v>
      </c>
      <c r="AG57" s="320">
        <v>0</v>
      </c>
      <c r="AH57" s="320">
        <v>0</v>
      </c>
      <c r="AI57" s="320">
        <v>0</v>
      </c>
      <c r="AJ57" s="320">
        <v>0</v>
      </c>
      <c r="AK57" s="320">
        <v>0</v>
      </c>
      <c r="AL57" s="320">
        <v>0</v>
      </c>
      <c r="AM57" s="320">
        <v>0</v>
      </c>
      <c r="AN57" s="320">
        <v>0</v>
      </c>
      <c r="AO57" s="320">
        <v>0</v>
      </c>
      <c r="AP57" s="320">
        <v>0</v>
      </c>
      <c r="AQ57" s="320">
        <v>0</v>
      </c>
      <c r="AR57" s="320">
        <v>0</v>
      </c>
      <c r="AS57" s="320">
        <v>0</v>
      </c>
      <c r="AT57" s="320">
        <v>0</v>
      </c>
    </row>
    <row r="58" spans="1:46" ht="34.5" customHeight="1">
      <c r="B58" s="783" t="s">
        <v>1630</v>
      </c>
      <c r="C58" s="320">
        <v>0.37</v>
      </c>
      <c r="D58" s="320">
        <v>0.37</v>
      </c>
      <c r="E58" s="320">
        <v>0</v>
      </c>
      <c r="F58" s="320">
        <v>0</v>
      </c>
      <c r="G58" s="320">
        <v>0</v>
      </c>
      <c r="H58" s="320">
        <v>0</v>
      </c>
      <c r="I58" s="320">
        <v>0</v>
      </c>
      <c r="J58" s="320">
        <v>0</v>
      </c>
      <c r="K58" s="320">
        <v>0</v>
      </c>
      <c r="L58" s="320">
        <v>0</v>
      </c>
      <c r="M58" s="320">
        <v>0</v>
      </c>
      <c r="N58" s="320">
        <v>0</v>
      </c>
      <c r="O58" s="320">
        <v>0</v>
      </c>
      <c r="P58" s="320">
        <v>0</v>
      </c>
      <c r="Q58" s="1073" t="str">
        <f t="shared" si="11"/>
        <v>Rhodes grass (Chloris gayana) - forage</v>
      </c>
      <c r="R58" s="320">
        <v>0.19</v>
      </c>
      <c r="S58" s="320">
        <v>0.19</v>
      </c>
      <c r="T58" s="320">
        <v>0</v>
      </c>
      <c r="U58" s="320">
        <v>0</v>
      </c>
      <c r="V58" s="320">
        <v>0</v>
      </c>
      <c r="W58" s="320">
        <v>0</v>
      </c>
      <c r="X58" s="320">
        <v>0</v>
      </c>
      <c r="Y58" s="320">
        <v>0</v>
      </c>
      <c r="Z58" s="320">
        <v>0</v>
      </c>
      <c r="AA58" s="320">
        <v>0</v>
      </c>
      <c r="AB58" s="320">
        <v>0</v>
      </c>
      <c r="AC58" s="320">
        <v>0</v>
      </c>
      <c r="AD58" s="320">
        <v>0</v>
      </c>
      <c r="AE58" s="320">
        <v>0</v>
      </c>
      <c r="AF58" s="1064" t="str">
        <f t="shared" si="12"/>
        <v>Rhodes grass (Chloris gayana) - forage</v>
      </c>
      <c r="AG58" s="320">
        <v>0</v>
      </c>
      <c r="AH58" s="320">
        <v>0</v>
      </c>
      <c r="AI58" s="320">
        <v>0</v>
      </c>
      <c r="AJ58" s="320">
        <v>0</v>
      </c>
      <c r="AK58" s="320">
        <v>0</v>
      </c>
      <c r="AL58" s="320">
        <v>0</v>
      </c>
      <c r="AM58" s="320">
        <v>0</v>
      </c>
      <c r="AN58" s="320">
        <v>0</v>
      </c>
      <c r="AO58" s="320">
        <v>0</v>
      </c>
      <c r="AP58" s="320">
        <v>0</v>
      </c>
      <c r="AQ58" s="320">
        <v>0</v>
      </c>
      <c r="AR58" s="320">
        <v>0</v>
      </c>
      <c r="AS58" s="320">
        <v>0</v>
      </c>
      <c r="AT58" s="320">
        <v>0</v>
      </c>
    </row>
    <row r="59" spans="1:46" ht="34.5" customHeight="1">
      <c r="B59" s="783" t="s">
        <v>1856</v>
      </c>
      <c r="C59" s="320">
        <v>0.05</v>
      </c>
      <c r="D59" s="320">
        <v>0.05</v>
      </c>
      <c r="E59" s="320">
        <v>0</v>
      </c>
      <c r="F59" s="320">
        <v>0</v>
      </c>
      <c r="G59" s="320">
        <v>0</v>
      </c>
      <c r="H59" s="320">
        <v>0</v>
      </c>
      <c r="I59" s="320">
        <v>0</v>
      </c>
      <c r="J59" s="320">
        <v>0</v>
      </c>
      <c r="K59" s="320">
        <v>0</v>
      </c>
      <c r="L59" s="320">
        <v>0</v>
      </c>
      <c r="M59" s="320">
        <v>0</v>
      </c>
      <c r="N59" s="320">
        <v>0</v>
      </c>
      <c r="O59" s="320">
        <v>0</v>
      </c>
      <c r="P59" s="320">
        <v>0</v>
      </c>
      <c r="Q59" s="1073" t="str">
        <f t="shared" si="11"/>
        <v>Guatemala (Tripsacum andersonii) - forage</v>
      </c>
      <c r="R59" s="320">
        <v>0.3</v>
      </c>
      <c r="S59" s="320">
        <v>0.3</v>
      </c>
      <c r="T59" s="320">
        <v>0</v>
      </c>
      <c r="U59" s="320">
        <v>0</v>
      </c>
      <c r="V59" s="320">
        <v>0</v>
      </c>
      <c r="W59" s="320">
        <v>0</v>
      </c>
      <c r="X59" s="320">
        <v>0</v>
      </c>
      <c r="Y59" s="320">
        <v>0</v>
      </c>
      <c r="Z59" s="320">
        <v>0</v>
      </c>
      <c r="AA59" s="320">
        <v>0</v>
      </c>
      <c r="AB59" s="320">
        <v>0</v>
      </c>
      <c r="AC59" s="320">
        <v>0</v>
      </c>
      <c r="AD59" s="320">
        <v>0</v>
      </c>
      <c r="AE59" s="320">
        <v>0</v>
      </c>
      <c r="AF59" s="1064" t="str">
        <f t="shared" si="12"/>
        <v>Guatemala (Tripsacum andersonii) - forage</v>
      </c>
      <c r="AG59" s="320">
        <v>0</v>
      </c>
      <c r="AH59" s="320">
        <v>0</v>
      </c>
      <c r="AI59" s="320">
        <v>0</v>
      </c>
      <c r="AJ59" s="320">
        <v>0</v>
      </c>
      <c r="AK59" s="320">
        <v>0</v>
      </c>
      <c r="AL59" s="320">
        <v>0</v>
      </c>
      <c r="AM59" s="320">
        <v>0</v>
      </c>
      <c r="AN59" s="320">
        <v>0</v>
      </c>
      <c r="AO59" s="320">
        <v>0</v>
      </c>
      <c r="AP59" s="320">
        <v>0</v>
      </c>
      <c r="AQ59" s="320">
        <v>0</v>
      </c>
      <c r="AR59" s="320">
        <v>0</v>
      </c>
      <c r="AS59" s="320">
        <v>0</v>
      </c>
      <c r="AT59" s="320">
        <v>0</v>
      </c>
    </row>
    <row r="60" spans="1:46" ht="34.5" customHeight="1">
      <c r="B60" s="783" t="s">
        <v>1501</v>
      </c>
      <c r="C60" s="320">
        <v>0.02</v>
      </c>
      <c r="D60" s="320">
        <v>0.02</v>
      </c>
      <c r="E60" s="320">
        <v>0</v>
      </c>
      <c r="F60" s="320">
        <v>0</v>
      </c>
      <c r="G60" s="320">
        <v>0</v>
      </c>
      <c r="H60" s="320">
        <v>0</v>
      </c>
      <c r="I60" s="320">
        <v>0</v>
      </c>
      <c r="J60" s="320">
        <v>0</v>
      </c>
      <c r="K60" s="320">
        <v>0</v>
      </c>
      <c r="L60" s="320">
        <v>0</v>
      </c>
      <c r="M60" s="320">
        <v>0</v>
      </c>
      <c r="N60" s="320">
        <v>0</v>
      </c>
      <c r="O60" s="320">
        <v>0</v>
      </c>
      <c r="P60" s="320">
        <v>0</v>
      </c>
      <c r="Q60" s="1073" t="str">
        <f t="shared" si="11"/>
        <v>Maize (Zea mays) - stover</v>
      </c>
      <c r="R60" s="320">
        <v>0.15</v>
      </c>
      <c r="S60" s="320">
        <v>0.15</v>
      </c>
      <c r="T60" s="320">
        <v>0</v>
      </c>
      <c r="U60" s="320">
        <v>0</v>
      </c>
      <c r="V60" s="320">
        <v>0</v>
      </c>
      <c r="W60" s="320">
        <v>0</v>
      </c>
      <c r="X60" s="320">
        <v>0</v>
      </c>
      <c r="Y60" s="320">
        <v>0</v>
      </c>
      <c r="Z60" s="320">
        <v>0</v>
      </c>
      <c r="AA60" s="320">
        <v>0</v>
      </c>
      <c r="AB60" s="320">
        <v>0</v>
      </c>
      <c r="AC60" s="320">
        <v>0</v>
      </c>
      <c r="AD60" s="320">
        <v>0</v>
      </c>
      <c r="AE60" s="320">
        <v>0</v>
      </c>
      <c r="AF60" s="1064" t="str">
        <f t="shared" si="12"/>
        <v>Maize (Zea mays) - stover</v>
      </c>
      <c r="AG60" s="320">
        <v>0</v>
      </c>
      <c r="AH60" s="320">
        <v>0</v>
      </c>
      <c r="AI60" s="320">
        <v>0</v>
      </c>
      <c r="AJ60" s="320">
        <v>0</v>
      </c>
      <c r="AK60" s="320">
        <v>0</v>
      </c>
      <c r="AL60" s="320">
        <v>0</v>
      </c>
      <c r="AM60" s="320">
        <v>0</v>
      </c>
      <c r="AN60" s="320">
        <v>0</v>
      </c>
      <c r="AO60" s="320">
        <v>0</v>
      </c>
      <c r="AP60" s="320">
        <v>0</v>
      </c>
      <c r="AQ60" s="320">
        <v>0</v>
      </c>
      <c r="AR60" s="320">
        <v>0</v>
      </c>
      <c r="AS60" s="320">
        <v>0</v>
      </c>
      <c r="AT60" s="320">
        <v>0</v>
      </c>
    </row>
    <row r="61" spans="1:46" ht="34.5" customHeight="1">
      <c r="B61" s="783" t="s">
        <v>1507</v>
      </c>
      <c r="C61" s="320">
        <v>0.36</v>
      </c>
      <c r="D61" s="320">
        <v>0.36</v>
      </c>
      <c r="E61" s="320">
        <v>0</v>
      </c>
      <c r="F61" s="320">
        <v>0</v>
      </c>
      <c r="G61" s="320">
        <v>0</v>
      </c>
      <c r="H61" s="320">
        <v>0</v>
      </c>
      <c r="I61" s="320">
        <v>0</v>
      </c>
      <c r="J61" s="320">
        <v>0</v>
      </c>
      <c r="K61" s="320">
        <v>0</v>
      </c>
      <c r="L61" s="320">
        <v>0</v>
      </c>
      <c r="M61" s="320">
        <v>0</v>
      </c>
      <c r="N61" s="320">
        <v>0</v>
      </c>
      <c r="O61" s="320">
        <v>0</v>
      </c>
      <c r="P61" s="320">
        <v>0</v>
      </c>
      <c r="Q61" s="1073" t="str">
        <f t="shared" si="11"/>
        <v xml:space="preserve">Naturally occuring pasture - green fodder </v>
      </c>
      <c r="R61" s="320">
        <v>0.2</v>
      </c>
      <c r="S61" s="320">
        <v>0.2</v>
      </c>
      <c r="T61" s="320">
        <v>0</v>
      </c>
      <c r="U61" s="320">
        <v>0</v>
      </c>
      <c r="V61" s="320">
        <v>0</v>
      </c>
      <c r="W61" s="320">
        <v>0</v>
      </c>
      <c r="X61" s="320">
        <v>0</v>
      </c>
      <c r="Y61" s="320">
        <v>0</v>
      </c>
      <c r="Z61" s="320">
        <v>0</v>
      </c>
      <c r="AA61" s="320">
        <v>0</v>
      </c>
      <c r="AB61" s="320">
        <v>0</v>
      </c>
      <c r="AC61" s="320">
        <v>0</v>
      </c>
      <c r="AD61" s="320">
        <v>0</v>
      </c>
      <c r="AE61" s="320">
        <v>0</v>
      </c>
      <c r="AF61" s="1064" t="str">
        <f t="shared" si="12"/>
        <v xml:space="preserve">Naturally occuring pasture - green fodder </v>
      </c>
      <c r="AG61" s="320">
        <v>0</v>
      </c>
      <c r="AH61" s="320">
        <v>0</v>
      </c>
      <c r="AI61" s="320">
        <v>0</v>
      </c>
      <c r="AJ61" s="320">
        <v>0</v>
      </c>
      <c r="AK61" s="320">
        <v>0</v>
      </c>
      <c r="AL61" s="320">
        <v>0</v>
      </c>
      <c r="AM61" s="320">
        <v>0</v>
      </c>
      <c r="AN61" s="320">
        <v>0</v>
      </c>
      <c r="AO61" s="320">
        <v>0</v>
      </c>
      <c r="AP61" s="320">
        <v>0</v>
      </c>
      <c r="AQ61" s="320">
        <v>0</v>
      </c>
      <c r="AR61" s="320">
        <v>0</v>
      </c>
      <c r="AS61" s="320">
        <v>0</v>
      </c>
      <c r="AT61" s="320">
        <v>0</v>
      </c>
    </row>
    <row r="62" spans="1:46" ht="34.5" customHeight="1" thickBot="1">
      <c r="B62" s="783" t="s">
        <v>1143</v>
      </c>
      <c r="C62" s="782">
        <v>0</v>
      </c>
      <c r="D62" s="782">
        <v>0</v>
      </c>
      <c r="E62" s="782">
        <v>0</v>
      </c>
      <c r="F62" s="782">
        <v>0</v>
      </c>
      <c r="G62" s="782">
        <v>0</v>
      </c>
      <c r="H62" s="782">
        <v>0</v>
      </c>
      <c r="I62" s="782">
        <v>0</v>
      </c>
      <c r="J62" s="782">
        <v>0</v>
      </c>
      <c r="K62" s="782">
        <v>0</v>
      </c>
      <c r="L62" s="782">
        <v>0</v>
      </c>
      <c r="M62" s="782">
        <v>0</v>
      </c>
      <c r="N62" s="782">
        <v>0</v>
      </c>
      <c r="O62" s="782">
        <v>0</v>
      </c>
      <c r="P62" s="782">
        <v>0</v>
      </c>
      <c r="Q62" s="1073" t="str">
        <f t="shared" si="11"/>
        <v>N/A</v>
      </c>
      <c r="R62" s="782">
        <v>0</v>
      </c>
      <c r="S62" s="782">
        <v>0</v>
      </c>
      <c r="T62" s="782">
        <v>0</v>
      </c>
      <c r="U62" s="782">
        <v>0</v>
      </c>
      <c r="V62" s="782">
        <v>0</v>
      </c>
      <c r="W62" s="782">
        <v>0</v>
      </c>
      <c r="X62" s="782">
        <v>0</v>
      </c>
      <c r="Y62" s="782">
        <v>0</v>
      </c>
      <c r="Z62" s="782">
        <v>0</v>
      </c>
      <c r="AA62" s="782">
        <v>0</v>
      </c>
      <c r="AB62" s="782">
        <v>0</v>
      </c>
      <c r="AC62" s="782">
        <v>0</v>
      </c>
      <c r="AD62" s="782">
        <v>0</v>
      </c>
      <c r="AE62" s="782">
        <v>0</v>
      </c>
      <c r="AF62" s="1064" t="str">
        <f t="shared" si="12"/>
        <v>N/A</v>
      </c>
      <c r="AG62" s="782">
        <v>0</v>
      </c>
      <c r="AH62" s="782">
        <v>0</v>
      </c>
      <c r="AI62" s="782">
        <v>0</v>
      </c>
      <c r="AJ62" s="782">
        <v>0</v>
      </c>
      <c r="AK62" s="782">
        <v>0</v>
      </c>
      <c r="AL62" s="782">
        <v>0</v>
      </c>
      <c r="AM62" s="782">
        <v>0</v>
      </c>
      <c r="AN62" s="782">
        <v>0</v>
      </c>
      <c r="AO62" s="782">
        <v>0</v>
      </c>
      <c r="AP62" s="782">
        <v>0</v>
      </c>
      <c r="AQ62" s="782">
        <v>0</v>
      </c>
      <c r="AR62" s="782">
        <v>0</v>
      </c>
      <c r="AS62" s="782">
        <v>0</v>
      </c>
      <c r="AT62" s="782">
        <v>0</v>
      </c>
    </row>
    <row r="63" spans="1:46">
      <c r="B63" s="360"/>
      <c r="C63" s="775">
        <f>SUM(C56:C62)</f>
        <v>1</v>
      </c>
      <c r="D63" s="775">
        <f t="shared" ref="D63:M63" si="13">SUM(D56:D62)</f>
        <v>1</v>
      </c>
      <c r="E63" s="775">
        <f t="shared" si="13"/>
        <v>0</v>
      </c>
      <c r="F63" s="775">
        <f t="shared" si="13"/>
        <v>0</v>
      </c>
      <c r="G63" s="775">
        <f t="shared" si="13"/>
        <v>0</v>
      </c>
      <c r="H63" s="775">
        <f t="shared" si="13"/>
        <v>0</v>
      </c>
      <c r="I63" s="775">
        <f t="shared" si="13"/>
        <v>0</v>
      </c>
      <c r="J63" s="775">
        <f t="shared" si="13"/>
        <v>0</v>
      </c>
      <c r="K63" s="775">
        <f t="shared" si="13"/>
        <v>0</v>
      </c>
      <c r="L63" s="775">
        <f t="shared" si="13"/>
        <v>0</v>
      </c>
      <c r="M63" s="775">
        <f t="shared" si="13"/>
        <v>0</v>
      </c>
      <c r="N63" s="775">
        <f t="shared" ref="N63:AE63" si="14">SUM(N56:N62)</f>
        <v>0</v>
      </c>
      <c r="O63" s="775">
        <f t="shared" si="14"/>
        <v>0</v>
      </c>
      <c r="P63" s="775">
        <f t="shared" si="14"/>
        <v>0</v>
      </c>
      <c r="Q63" s="775"/>
      <c r="R63" s="775">
        <f t="shared" si="14"/>
        <v>1</v>
      </c>
      <c r="S63" s="775">
        <f t="shared" si="14"/>
        <v>1</v>
      </c>
      <c r="T63" s="775">
        <f t="shared" si="14"/>
        <v>0</v>
      </c>
      <c r="U63" s="775">
        <f t="shared" si="14"/>
        <v>0</v>
      </c>
      <c r="V63" s="775">
        <f t="shared" si="14"/>
        <v>0</v>
      </c>
      <c r="W63" s="775">
        <f t="shared" si="14"/>
        <v>0</v>
      </c>
      <c r="X63" s="775">
        <f t="shared" si="14"/>
        <v>0</v>
      </c>
      <c r="Y63" s="775">
        <f t="shared" si="14"/>
        <v>0</v>
      </c>
      <c r="Z63" s="775">
        <f t="shared" si="14"/>
        <v>0</v>
      </c>
      <c r="AA63" s="775">
        <f t="shared" si="14"/>
        <v>0</v>
      </c>
      <c r="AB63" s="775">
        <f t="shared" si="14"/>
        <v>0</v>
      </c>
      <c r="AC63" s="775">
        <f t="shared" si="14"/>
        <v>0</v>
      </c>
      <c r="AD63" s="775">
        <f t="shared" si="14"/>
        <v>0</v>
      </c>
      <c r="AE63" s="775">
        <f t="shared" si="14"/>
        <v>0</v>
      </c>
      <c r="AG63" s="775">
        <f t="shared" ref="AG63:AT63" si="15">SUM(AG56:AG62)</f>
        <v>0</v>
      </c>
      <c r="AH63" s="775">
        <f t="shared" si="15"/>
        <v>0</v>
      </c>
      <c r="AI63" s="775">
        <f t="shared" si="15"/>
        <v>0</v>
      </c>
      <c r="AJ63" s="775">
        <f t="shared" si="15"/>
        <v>0</v>
      </c>
      <c r="AK63" s="775">
        <f t="shared" si="15"/>
        <v>0</v>
      </c>
      <c r="AL63" s="775">
        <f t="shared" si="15"/>
        <v>0</v>
      </c>
      <c r="AM63" s="775">
        <f t="shared" si="15"/>
        <v>0</v>
      </c>
      <c r="AN63" s="775">
        <f t="shared" si="15"/>
        <v>0</v>
      </c>
      <c r="AO63" s="775">
        <f t="shared" si="15"/>
        <v>0</v>
      </c>
      <c r="AP63" s="775">
        <f t="shared" si="15"/>
        <v>0</v>
      </c>
      <c r="AQ63" s="775">
        <f t="shared" si="15"/>
        <v>0</v>
      </c>
      <c r="AR63" s="775">
        <f t="shared" si="15"/>
        <v>0</v>
      </c>
      <c r="AS63" s="775">
        <f t="shared" si="15"/>
        <v>0</v>
      </c>
      <c r="AT63" s="775">
        <f t="shared" si="15"/>
        <v>0</v>
      </c>
    </row>
    <row r="64" spans="1:46">
      <c r="B64" s="360"/>
      <c r="C64" s="360"/>
      <c r="L64" s="12"/>
      <c r="M64" s="12"/>
      <c r="N64" s="12"/>
      <c r="Q64" s="361"/>
      <c r="T64" s="380"/>
      <c r="U64" s="380"/>
      <c r="V64" s="821"/>
      <c r="W64" s="821"/>
      <c r="X64" s="821"/>
      <c r="Y64" s="380"/>
      <c r="Z64" s="380"/>
      <c r="AA64" s="619"/>
      <c r="AB64" s="759"/>
      <c r="AP64" s="361"/>
    </row>
    <row r="65" spans="1:165">
      <c r="B65" s="362" t="s">
        <v>1109</v>
      </c>
      <c r="C65" s="359"/>
      <c r="D65" s="359"/>
      <c r="E65" s="359"/>
      <c r="F65" s="359"/>
      <c r="G65" s="359"/>
      <c r="H65" s="359"/>
      <c r="I65" s="359"/>
      <c r="J65" s="362"/>
      <c r="K65" s="359"/>
      <c r="L65" s="359"/>
      <c r="M65" s="378"/>
      <c r="N65" s="378"/>
      <c r="O65" s="378"/>
      <c r="P65" s="378"/>
      <c r="Q65" s="378"/>
      <c r="R65" s="378"/>
      <c r="S65" s="378"/>
      <c r="T65" s="380"/>
      <c r="U65" s="380"/>
      <c r="V65" s="380"/>
      <c r="W65" s="380"/>
      <c r="X65" s="380"/>
      <c r="Y65" s="380"/>
      <c r="Z65" s="380"/>
      <c r="AA65" s="619"/>
      <c r="AB65" s="759"/>
      <c r="AC65" s="361"/>
      <c r="AP65" s="361"/>
      <c r="BC65" s="361"/>
    </row>
    <row r="66" spans="1:165">
      <c r="B66" s="116"/>
      <c r="C66" s="360"/>
      <c r="E66" s="307"/>
      <c r="T66" s="380"/>
      <c r="U66" s="380"/>
      <c r="V66" s="380"/>
      <c r="W66" s="380"/>
      <c r="X66" s="380"/>
      <c r="Y66" s="380"/>
      <c r="Z66" s="380"/>
      <c r="AA66" s="619"/>
      <c r="AB66" s="759"/>
      <c r="AP66" s="361"/>
    </row>
    <row r="67" spans="1:165" ht="16.5" thickBot="1">
      <c r="C67" s="360"/>
      <c r="E67" s="307"/>
      <c r="J67" s="378"/>
      <c r="K67" s="378"/>
      <c r="L67" s="378"/>
      <c r="M67" s="378"/>
      <c r="N67" s="378"/>
      <c r="O67" s="378"/>
      <c r="P67" s="378"/>
      <c r="Q67" s="378"/>
      <c r="R67" s="378"/>
      <c r="S67" s="378"/>
      <c r="T67" s="380"/>
      <c r="U67" s="380"/>
      <c r="V67" s="619"/>
      <c r="W67" s="619"/>
      <c r="X67" s="380"/>
      <c r="Y67" s="380"/>
      <c r="Z67" s="619"/>
      <c r="AA67" s="619"/>
      <c r="AB67" s="361"/>
      <c r="AO67" s="361"/>
    </row>
    <row r="68" spans="1:165" ht="31.5">
      <c r="B68" s="1462" t="s">
        <v>1597</v>
      </c>
      <c r="C68" s="366" t="s">
        <v>1088</v>
      </c>
      <c r="D68" s="379" t="s">
        <v>1089</v>
      </c>
      <c r="E68" s="379" t="s">
        <v>628</v>
      </c>
      <c r="F68" s="379" t="s">
        <v>1286</v>
      </c>
      <c r="G68" s="379" t="s">
        <v>1205</v>
      </c>
      <c r="H68" s="1085"/>
      <c r="I68" s="1091" t="s">
        <v>863</v>
      </c>
      <c r="J68" s="1006" t="s">
        <v>832</v>
      </c>
      <c r="K68" s="1094" t="s">
        <v>980</v>
      </c>
      <c r="L68" s="1009" t="s">
        <v>1736</v>
      </c>
      <c r="M68" s="380"/>
      <c r="N68" s="380"/>
      <c r="O68" s="380"/>
      <c r="P68" s="380"/>
      <c r="Q68" s="380"/>
      <c r="R68" s="380"/>
      <c r="S68" s="380"/>
      <c r="T68" s="380"/>
      <c r="U68" s="619"/>
      <c r="V68" s="619"/>
      <c r="W68" s="619"/>
      <c r="X68" s="619"/>
      <c r="Y68" s="380"/>
      <c r="Z68" s="619"/>
      <c r="AA68" s="619"/>
      <c r="AO68" s="361"/>
    </row>
    <row r="69" spans="1:165" s="386" customFormat="1" ht="15.75" customHeight="1">
      <c r="A69" s="383"/>
      <c r="B69" s="1463"/>
      <c r="C69" s="763" t="str">
        <f t="shared" ref="C69:C75" si="16">B56</f>
        <v>Concentrate (commercial)</v>
      </c>
      <c r="D69" s="521" t="str">
        <f>VLOOKUP(C69,FEED_P[],9,FALSE)</f>
        <v>Purchased</v>
      </c>
      <c r="E69" s="620" t="s">
        <v>1112</v>
      </c>
      <c r="F69" s="319">
        <v>0</v>
      </c>
      <c r="G69" s="620">
        <v>0</v>
      </c>
      <c r="H69" s="849"/>
      <c r="I69" s="621" t="s">
        <v>869</v>
      </c>
      <c r="J69" s="1007" t="s">
        <v>972</v>
      </c>
      <c r="K69" s="622">
        <v>30</v>
      </c>
      <c r="L69" s="1106" t="s">
        <v>738</v>
      </c>
      <c r="M69" s="380"/>
      <c r="N69" s="380"/>
      <c r="O69" s="380"/>
      <c r="P69" s="380"/>
      <c r="Q69" s="380"/>
      <c r="R69" s="380"/>
      <c r="S69" s="380"/>
      <c r="T69" s="380"/>
      <c r="U69" s="619"/>
      <c r="V69" s="619"/>
      <c r="W69" s="619"/>
      <c r="X69" s="619"/>
      <c r="Y69" s="619"/>
      <c r="Z69" s="619"/>
      <c r="AA69" s="360"/>
      <c r="AB69" s="360"/>
      <c r="AC69" s="360"/>
      <c r="AD69" s="360"/>
      <c r="AE69" s="360"/>
      <c r="AF69" s="360"/>
      <c r="AG69" s="360"/>
      <c r="AH69" s="360"/>
      <c r="AI69" s="360"/>
      <c r="AJ69" s="360"/>
      <c r="AK69" s="360"/>
      <c r="AL69" s="360"/>
      <c r="AM69" s="360"/>
      <c r="AN69" s="360"/>
      <c r="AO69" s="361"/>
      <c r="AP69" s="360"/>
      <c r="AQ69" s="360"/>
      <c r="AR69" s="360"/>
      <c r="AS69" s="360"/>
      <c r="AT69" s="360"/>
      <c r="AU69" s="360"/>
      <c r="AV69" s="360"/>
      <c r="AW69" s="360"/>
      <c r="AX69" s="360"/>
      <c r="AY69" s="360"/>
      <c r="AZ69" s="360"/>
      <c r="BA69" s="360"/>
      <c r="BB69" s="360"/>
      <c r="BC69" s="360"/>
      <c r="BD69" s="360"/>
      <c r="BE69" s="360"/>
      <c r="BF69" s="360"/>
      <c r="BG69" s="360"/>
      <c r="BH69" s="360"/>
      <c r="BI69" s="360"/>
      <c r="BJ69" s="360"/>
      <c r="BK69" s="360"/>
      <c r="BL69" s="360"/>
      <c r="BM69" s="360"/>
      <c r="BN69" s="360"/>
      <c r="BO69" s="360"/>
      <c r="BP69" s="360"/>
      <c r="BQ69" s="360"/>
      <c r="BR69" s="360"/>
      <c r="BS69" s="360"/>
      <c r="BT69" s="360"/>
      <c r="BU69" s="360"/>
      <c r="BV69" s="360"/>
      <c r="BW69" s="360"/>
      <c r="BX69" s="360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  <c r="CV69" s="360"/>
      <c r="CW69" s="360"/>
      <c r="CX69" s="360"/>
      <c r="CY69" s="360"/>
      <c r="CZ69" s="360"/>
      <c r="DA69" s="360"/>
      <c r="DB69" s="360"/>
      <c r="DC69" s="360"/>
      <c r="DD69" s="360"/>
      <c r="DE69" s="360"/>
      <c r="DF69" s="360"/>
      <c r="DG69" s="360"/>
      <c r="DH69" s="360"/>
      <c r="DI69" s="360"/>
      <c r="DJ69" s="360"/>
      <c r="DK69" s="360"/>
      <c r="DL69" s="360"/>
      <c r="DM69" s="360"/>
      <c r="DN69" s="360"/>
      <c r="DO69" s="360"/>
      <c r="DP69" s="360"/>
      <c r="DQ69" s="360"/>
      <c r="DR69" s="360"/>
      <c r="DS69" s="360"/>
      <c r="DT69" s="360"/>
      <c r="DU69" s="360"/>
      <c r="DV69" s="360"/>
      <c r="DW69" s="360"/>
      <c r="DX69" s="360"/>
      <c r="DY69" s="360"/>
      <c r="DZ69" s="360"/>
      <c r="EA69" s="360"/>
      <c r="EB69" s="360"/>
      <c r="EC69" s="360"/>
      <c r="ED69" s="360"/>
      <c r="EE69" s="360"/>
      <c r="EF69" s="360"/>
      <c r="EG69" s="360"/>
      <c r="EH69" s="360"/>
      <c r="EI69" s="360"/>
      <c r="EJ69" s="360"/>
      <c r="EK69" s="360"/>
      <c r="EL69" s="360"/>
      <c r="EM69" s="360"/>
      <c r="EN69" s="360"/>
      <c r="EO69" s="360"/>
      <c r="EP69" s="360"/>
      <c r="EQ69" s="360"/>
      <c r="ER69" s="360"/>
      <c r="ES69" s="360"/>
      <c r="ET69" s="360"/>
      <c r="EU69" s="360"/>
      <c r="EV69" s="360"/>
      <c r="EW69" s="360"/>
      <c r="EX69" s="360"/>
      <c r="EY69" s="360"/>
      <c r="EZ69" s="360"/>
      <c r="FA69" s="360"/>
      <c r="FB69" s="360"/>
      <c r="FC69" s="360"/>
      <c r="FD69" s="360"/>
      <c r="FE69" s="360"/>
      <c r="FF69" s="360"/>
      <c r="FG69" s="360"/>
      <c r="FH69" s="360"/>
      <c r="FI69" s="360"/>
    </row>
    <row r="70" spans="1:165" s="386" customFormat="1" ht="15.75" customHeight="1">
      <c r="A70" s="614"/>
      <c r="B70" s="1463"/>
      <c r="C70" s="763" t="str">
        <f t="shared" si="16"/>
        <v>Pennisetum purpureum - forage</v>
      </c>
      <c r="D70" s="521" t="str">
        <f>VLOOKUP(C70,FEED_P[],9,FALSE)</f>
        <v>Pennisetum purpureum</v>
      </c>
      <c r="E70" s="620" t="s">
        <v>1095</v>
      </c>
      <c r="F70" s="319">
        <v>0</v>
      </c>
      <c r="G70" s="620">
        <v>0</v>
      </c>
      <c r="H70" s="849"/>
      <c r="I70" s="621" t="s">
        <v>885</v>
      </c>
      <c r="J70" s="1007" t="s">
        <v>972</v>
      </c>
      <c r="K70" s="622">
        <v>30</v>
      </c>
      <c r="L70" s="1106" t="s">
        <v>738</v>
      </c>
      <c r="M70" s="380"/>
      <c r="N70" s="380"/>
      <c r="O70" s="380"/>
      <c r="P70" s="380"/>
      <c r="Q70" s="380"/>
      <c r="R70" s="380"/>
      <c r="S70" s="380"/>
      <c r="T70" s="619"/>
      <c r="U70" s="619"/>
      <c r="V70" s="619"/>
      <c r="W70" s="619"/>
      <c r="X70" s="619"/>
      <c r="Y70" s="619"/>
      <c r="Z70" s="619"/>
      <c r="AA70" s="390"/>
      <c r="AB70" s="360"/>
      <c r="AC70" s="360"/>
      <c r="AD70" s="360"/>
      <c r="AE70" s="360"/>
      <c r="AF70" s="360"/>
      <c r="AG70" s="360"/>
      <c r="AH70" s="360"/>
      <c r="AI70" s="360"/>
      <c r="AJ70" s="360"/>
      <c r="AK70" s="360"/>
      <c r="AL70" s="360"/>
      <c r="AM70" s="360"/>
      <c r="AN70" s="360"/>
      <c r="AO70" s="361"/>
      <c r="AP70" s="360"/>
      <c r="AQ70" s="360"/>
      <c r="AR70" s="360"/>
      <c r="AS70" s="360"/>
      <c r="AT70" s="360"/>
      <c r="AU70" s="360"/>
      <c r="AV70" s="360"/>
      <c r="AW70" s="360"/>
      <c r="AX70" s="360"/>
      <c r="AY70" s="360"/>
      <c r="AZ70" s="360"/>
      <c r="BA70" s="360"/>
      <c r="BB70" s="360"/>
      <c r="BC70" s="360"/>
      <c r="BD70" s="360"/>
      <c r="BE70" s="360"/>
      <c r="BF70" s="360"/>
      <c r="BG70" s="360"/>
      <c r="BH70" s="360"/>
      <c r="BI70" s="360"/>
      <c r="BJ70" s="360"/>
      <c r="BK70" s="360"/>
      <c r="BL70" s="360"/>
      <c r="BM70" s="360"/>
      <c r="BN70" s="360"/>
      <c r="BO70" s="360"/>
      <c r="BP70" s="360"/>
      <c r="BQ70" s="360"/>
      <c r="BR70" s="360"/>
      <c r="BS70" s="360"/>
      <c r="BT70" s="360"/>
      <c r="BU70" s="360"/>
      <c r="BV70" s="360"/>
      <c r="BW70" s="360"/>
      <c r="BX70" s="360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  <c r="CV70" s="360"/>
      <c r="CW70" s="360"/>
      <c r="CX70" s="360"/>
      <c r="CY70" s="360"/>
      <c r="CZ70" s="360"/>
      <c r="DA70" s="360"/>
      <c r="DB70" s="360"/>
      <c r="DC70" s="360"/>
      <c r="DD70" s="360"/>
      <c r="DE70" s="360"/>
      <c r="DF70" s="360"/>
      <c r="DG70" s="360"/>
      <c r="DH70" s="360"/>
      <c r="DI70" s="360"/>
      <c r="DJ70" s="360"/>
      <c r="DK70" s="360"/>
      <c r="DL70" s="360"/>
      <c r="DM70" s="360"/>
      <c r="DN70" s="360"/>
      <c r="DO70" s="360"/>
      <c r="DP70" s="360"/>
      <c r="DQ70" s="360"/>
      <c r="DR70" s="360"/>
      <c r="DS70" s="360"/>
      <c r="DT70" s="360"/>
      <c r="DU70" s="360"/>
      <c r="DV70" s="360"/>
      <c r="DW70" s="360"/>
      <c r="DX70" s="360"/>
      <c r="DY70" s="360"/>
      <c r="DZ70" s="360"/>
      <c r="EA70" s="360"/>
      <c r="EB70" s="360"/>
      <c r="EC70" s="360"/>
      <c r="ED70" s="360"/>
      <c r="EE70" s="360"/>
      <c r="EF70" s="360"/>
      <c r="EG70" s="360"/>
      <c r="EH70" s="360"/>
      <c r="EI70" s="360"/>
      <c r="EJ70" s="360"/>
      <c r="EK70" s="360"/>
      <c r="EL70" s="360"/>
      <c r="EM70" s="360"/>
      <c r="EN70" s="360"/>
      <c r="EO70" s="360"/>
      <c r="EP70" s="360"/>
      <c r="EQ70" s="360"/>
      <c r="ER70" s="360"/>
      <c r="ES70" s="360"/>
      <c r="ET70" s="360"/>
      <c r="EU70" s="360"/>
      <c r="EV70" s="360"/>
      <c r="EW70" s="360"/>
      <c r="EX70" s="360"/>
      <c r="EY70" s="360"/>
      <c r="EZ70" s="360"/>
      <c r="FA70" s="360"/>
      <c r="FB70" s="360"/>
      <c r="FC70" s="360"/>
      <c r="FD70" s="360"/>
      <c r="FE70" s="360"/>
      <c r="FF70" s="360"/>
      <c r="FG70" s="360"/>
      <c r="FH70" s="360"/>
      <c r="FI70" s="360"/>
    </row>
    <row r="71" spans="1:165" s="386" customFormat="1" ht="15.75" customHeight="1">
      <c r="A71" s="614"/>
      <c r="B71" s="1463"/>
      <c r="C71" s="763" t="str">
        <f t="shared" si="16"/>
        <v>Rhodes grass (Chloris gayana) - forage</v>
      </c>
      <c r="D71" s="521" t="str">
        <f>VLOOKUP(C71,FEED_P[],9,FALSE)</f>
        <v>Rhodes</v>
      </c>
      <c r="E71" s="620" t="s">
        <v>1095</v>
      </c>
      <c r="F71" s="319">
        <v>0</v>
      </c>
      <c r="G71" s="620">
        <v>0</v>
      </c>
      <c r="H71" s="849"/>
      <c r="I71" s="621" t="s">
        <v>885</v>
      </c>
      <c r="J71" s="1007" t="s">
        <v>972</v>
      </c>
      <c r="K71" s="622">
        <v>30</v>
      </c>
      <c r="L71" s="1106" t="s">
        <v>738</v>
      </c>
      <c r="M71" s="380"/>
      <c r="N71" s="380"/>
      <c r="O71" s="380"/>
      <c r="P71" s="380"/>
      <c r="Q71" s="380"/>
      <c r="R71" s="380"/>
      <c r="S71" s="380"/>
      <c r="T71" s="619"/>
      <c r="U71" s="619"/>
      <c r="V71" s="619"/>
      <c r="W71" s="619"/>
      <c r="X71" s="619"/>
      <c r="Y71" s="619"/>
      <c r="Z71" s="619"/>
      <c r="AA71" s="378"/>
      <c r="AB71" s="360"/>
      <c r="AC71" s="360"/>
      <c r="AD71" s="360"/>
      <c r="AE71" s="360"/>
      <c r="AF71" s="360"/>
      <c r="AG71" s="360"/>
      <c r="AH71" s="360"/>
      <c r="AI71" s="361"/>
      <c r="AJ71" s="360"/>
      <c r="AK71" s="360"/>
      <c r="AL71" s="360"/>
      <c r="AM71" s="360"/>
      <c r="AN71" s="360"/>
      <c r="AO71" s="361"/>
      <c r="AP71" s="360"/>
      <c r="AQ71" s="360"/>
      <c r="AR71" s="360"/>
      <c r="AS71" s="360"/>
      <c r="AT71" s="360"/>
      <c r="AU71" s="360"/>
      <c r="AV71" s="360"/>
      <c r="AW71" s="360"/>
      <c r="AX71" s="360"/>
      <c r="AY71" s="360"/>
      <c r="AZ71" s="360"/>
      <c r="BA71" s="360"/>
      <c r="BB71" s="360"/>
      <c r="BC71" s="360"/>
      <c r="BD71" s="360"/>
      <c r="BE71" s="360"/>
      <c r="BF71" s="360"/>
      <c r="BG71" s="360"/>
      <c r="BH71" s="360"/>
      <c r="BI71" s="360"/>
      <c r="BJ71" s="360"/>
      <c r="BK71" s="360"/>
      <c r="BL71" s="360"/>
      <c r="BM71" s="360"/>
      <c r="BN71" s="360"/>
      <c r="BO71" s="360"/>
      <c r="BP71" s="360"/>
      <c r="BQ71" s="360"/>
      <c r="BR71" s="360"/>
      <c r="BS71" s="360"/>
      <c r="BT71" s="360"/>
      <c r="BU71" s="360"/>
      <c r="BV71" s="360"/>
      <c r="BW71" s="360"/>
      <c r="BX71" s="360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  <c r="CV71" s="360"/>
      <c r="CW71" s="360"/>
      <c r="CX71" s="360"/>
      <c r="CY71" s="360"/>
      <c r="CZ71" s="360"/>
      <c r="DA71" s="360"/>
      <c r="DB71" s="360"/>
      <c r="DC71" s="360"/>
      <c r="DD71" s="360"/>
      <c r="DE71" s="360"/>
      <c r="DF71" s="360"/>
      <c r="DG71" s="360"/>
      <c r="DH71" s="360"/>
      <c r="DI71" s="360"/>
      <c r="DJ71" s="360"/>
      <c r="DK71" s="360"/>
      <c r="DL71" s="360"/>
      <c r="DM71" s="360"/>
      <c r="DN71" s="360"/>
      <c r="DO71" s="360"/>
      <c r="DP71" s="360"/>
      <c r="DQ71" s="360"/>
      <c r="DR71" s="360"/>
      <c r="DS71" s="360"/>
      <c r="DT71" s="360"/>
      <c r="DU71" s="360"/>
      <c r="DV71" s="360"/>
      <c r="DW71" s="360"/>
      <c r="DX71" s="360"/>
      <c r="DY71" s="360"/>
      <c r="DZ71" s="360"/>
      <c r="EA71" s="360"/>
      <c r="EB71" s="360"/>
      <c r="EC71" s="360"/>
      <c r="ED71" s="360"/>
      <c r="EE71" s="360"/>
      <c r="EF71" s="360"/>
      <c r="EG71" s="360"/>
      <c r="EH71" s="360"/>
      <c r="EI71" s="360"/>
      <c r="EJ71" s="360"/>
      <c r="EK71" s="360"/>
      <c r="EL71" s="360"/>
      <c r="EM71" s="360"/>
      <c r="EN71" s="360"/>
      <c r="EO71" s="360"/>
      <c r="EP71" s="360"/>
      <c r="EQ71" s="360"/>
      <c r="ER71" s="360"/>
      <c r="ES71" s="360"/>
      <c r="ET71" s="360"/>
      <c r="EU71" s="360"/>
      <c r="EV71" s="360"/>
      <c r="EW71" s="360"/>
      <c r="EX71" s="360"/>
      <c r="EY71" s="360"/>
      <c r="EZ71" s="360"/>
      <c r="FA71" s="360"/>
      <c r="FB71" s="360"/>
      <c r="FC71" s="360"/>
      <c r="FD71" s="360"/>
      <c r="FE71" s="360"/>
      <c r="FF71" s="360"/>
      <c r="FG71" s="360"/>
      <c r="FH71" s="360"/>
      <c r="FI71" s="360"/>
    </row>
    <row r="72" spans="1:165" s="386" customFormat="1" ht="15.75" customHeight="1">
      <c r="A72" s="614"/>
      <c r="B72" s="1463"/>
      <c r="C72" s="763" t="str">
        <f t="shared" si="16"/>
        <v>Guatemala (Tripsacum andersonii) - forage</v>
      </c>
      <c r="D72" s="521" t="str">
        <f>VLOOKUP(C72,FEED_P[],9,FALSE)</f>
        <v>Guatemala</v>
      </c>
      <c r="E72" s="620" t="s">
        <v>1095</v>
      </c>
      <c r="F72" s="319">
        <v>0</v>
      </c>
      <c r="G72" s="620">
        <v>0</v>
      </c>
      <c r="H72" s="849"/>
      <c r="I72" s="621" t="s">
        <v>871</v>
      </c>
      <c r="J72" s="1007" t="s">
        <v>972</v>
      </c>
      <c r="K72" s="622">
        <v>30</v>
      </c>
      <c r="L72" s="1106" t="s">
        <v>738</v>
      </c>
      <c r="M72" s="380"/>
      <c r="N72" s="380"/>
      <c r="O72" s="380"/>
      <c r="P72" s="380"/>
      <c r="Q72" s="380"/>
      <c r="R72" s="380"/>
      <c r="S72" s="380"/>
      <c r="T72" s="619"/>
      <c r="U72" s="619"/>
      <c r="V72" s="360"/>
      <c r="W72" s="619"/>
      <c r="X72" s="619"/>
      <c r="Y72" s="619"/>
      <c r="Z72" s="360"/>
      <c r="AA72" s="378"/>
      <c r="AB72" s="360"/>
      <c r="AC72" s="360"/>
      <c r="AD72" s="360"/>
      <c r="AE72" s="360"/>
      <c r="AF72" s="360"/>
      <c r="AG72" s="360"/>
      <c r="AH72" s="360"/>
      <c r="AI72" s="360"/>
      <c r="AJ72" s="360"/>
      <c r="AK72" s="360"/>
      <c r="AL72" s="360"/>
      <c r="AM72" s="360"/>
      <c r="AN72" s="360"/>
      <c r="AO72" s="361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  <c r="CV72" s="360"/>
      <c r="CW72" s="360"/>
      <c r="CX72" s="360"/>
      <c r="CY72" s="360"/>
      <c r="CZ72" s="360"/>
      <c r="DA72" s="360"/>
      <c r="DB72" s="360"/>
      <c r="DC72" s="360"/>
      <c r="DD72" s="360"/>
      <c r="DE72" s="360"/>
      <c r="DF72" s="360"/>
      <c r="DG72" s="360"/>
      <c r="DH72" s="360"/>
      <c r="DI72" s="360"/>
      <c r="DJ72" s="360"/>
      <c r="DK72" s="360"/>
      <c r="DL72" s="360"/>
      <c r="DM72" s="360"/>
      <c r="DN72" s="360"/>
      <c r="DO72" s="360"/>
      <c r="DP72" s="360"/>
      <c r="DQ72" s="360"/>
      <c r="DR72" s="360"/>
      <c r="DS72" s="360"/>
      <c r="DT72" s="360"/>
      <c r="DU72" s="360"/>
      <c r="DV72" s="360"/>
      <c r="DW72" s="360"/>
      <c r="DX72" s="360"/>
      <c r="DY72" s="360"/>
      <c r="DZ72" s="360"/>
      <c r="EA72" s="360"/>
      <c r="EB72" s="360"/>
      <c r="EC72" s="360"/>
      <c r="ED72" s="360"/>
      <c r="EE72" s="360"/>
      <c r="EF72" s="360"/>
      <c r="EG72" s="360"/>
      <c r="EH72" s="360"/>
      <c r="EI72" s="360"/>
      <c r="EJ72" s="360"/>
      <c r="EK72" s="360"/>
      <c r="EL72" s="360"/>
      <c r="EM72" s="360"/>
      <c r="EN72" s="360"/>
      <c r="EO72" s="360"/>
      <c r="EP72" s="360"/>
      <c r="EQ72" s="360"/>
      <c r="ER72" s="360"/>
      <c r="ES72" s="360"/>
      <c r="ET72" s="360"/>
      <c r="EU72" s="360"/>
      <c r="EV72" s="360"/>
      <c r="EW72" s="360"/>
      <c r="EX72" s="360"/>
      <c r="EY72" s="360"/>
      <c r="EZ72" s="360"/>
      <c r="FA72" s="360"/>
      <c r="FB72" s="360"/>
      <c r="FC72" s="360"/>
      <c r="FD72" s="360"/>
      <c r="FE72" s="360"/>
      <c r="FF72" s="360"/>
      <c r="FG72" s="360"/>
      <c r="FH72" s="360"/>
      <c r="FI72" s="360"/>
    </row>
    <row r="73" spans="1:165" s="386" customFormat="1" ht="15.75" customHeight="1">
      <c r="A73" s="614"/>
      <c r="B73" s="1463"/>
      <c r="C73" s="763" t="str">
        <f t="shared" si="16"/>
        <v>Maize (Zea mays) - stover</v>
      </c>
      <c r="D73" s="521" t="str">
        <f>VLOOKUP(C73,FEED_P[],9,FALSE)</f>
        <v>Maize</v>
      </c>
      <c r="E73" s="620" t="s">
        <v>1096</v>
      </c>
      <c r="F73" s="319">
        <v>0</v>
      </c>
      <c r="G73" s="620">
        <v>0</v>
      </c>
      <c r="H73" s="849"/>
      <c r="I73" s="621" t="s">
        <v>378</v>
      </c>
      <c r="J73" s="1007" t="s">
        <v>972</v>
      </c>
      <c r="K73" s="622">
        <v>30</v>
      </c>
      <c r="L73" s="1106" t="s">
        <v>738</v>
      </c>
      <c r="M73" s="380"/>
      <c r="N73" s="380"/>
      <c r="O73" s="380"/>
      <c r="P73" s="380"/>
      <c r="Q73" s="380"/>
      <c r="R73" s="380"/>
      <c r="S73" s="380"/>
      <c r="T73" s="619"/>
      <c r="U73" s="619"/>
      <c r="V73" s="381"/>
      <c r="W73" s="360"/>
      <c r="X73" s="619"/>
      <c r="Y73" s="619"/>
      <c r="Z73" s="381"/>
      <c r="AA73" s="378"/>
      <c r="AB73" s="360"/>
      <c r="AC73" s="360"/>
      <c r="AD73" s="360"/>
      <c r="AE73" s="360"/>
      <c r="AF73" s="360"/>
      <c r="AG73" s="360"/>
      <c r="AH73" s="360"/>
      <c r="AI73" s="360"/>
      <c r="AJ73" s="360"/>
      <c r="AK73" s="360"/>
      <c r="AL73" s="360"/>
      <c r="AM73" s="360"/>
      <c r="AN73" s="360"/>
      <c r="AO73" s="361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  <c r="CV73" s="360"/>
      <c r="CW73" s="360"/>
      <c r="CX73" s="360"/>
      <c r="CY73" s="360"/>
      <c r="CZ73" s="360"/>
      <c r="DA73" s="360"/>
      <c r="DB73" s="360"/>
      <c r="DC73" s="360"/>
      <c r="DD73" s="360"/>
      <c r="DE73" s="360"/>
      <c r="DF73" s="360"/>
      <c r="DG73" s="360"/>
      <c r="DH73" s="360"/>
      <c r="DI73" s="360"/>
      <c r="DJ73" s="360"/>
      <c r="DK73" s="360"/>
      <c r="DL73" s="360"/>
      <c r="DM73" s="360"/>
      <c r="DN73" s="360"/>
      <c r="DO73" s="360"/>
      <c r="DP73" s="360"/>
      <c r="DQ73" s="360"/>
      <c r="DR73" s="360"/>
      <c r="DS73" s="360"/>
      <c r="DT73" s="360"/>
      <c r="DU73" s="360"/>
      <c r="DV73" s="360"/>
      <c r="DW73" s="360"/>
      <c r="DX73" s="360"/>
      <c r="DY73" s="360"/>
      <c r="DZ73" s="360"/>
      <c r="EA73" s="360"/>
      <c r="EB73" s="360"/>
      <c r="EC73" s="360"/>
      <c r="ED73" s="360"/>
      <c r="EE73" s="360"/>
      <c r="EF73" s="360"/>
      <c r="EG73" s="360"/>
      <c r="EH73" s="360"/>
      <c r="EI73" s="360"/>
      <c r="EJ73" s="360"/>
      <c r="EK73" s="360"/>
      <c r="EL73" s="360"/>
      <c r="EM73" s="360"/>
      <c r="EN73" s="360"/>
      <c r="EO73" s="360"/>
      <c r="EP73" s="360"/>
      <c r="EQ73" s="360"/>
      <c r="ER73" s="360"/>
      <c r="ES73" s="360"/>
      <c r="ET73" s="360"/>
      <c r="EU73" s="360"/>
      <c r="EV73" s="360"/>
      <c r="EW73" s="360"/>
      <c r="EX73" s="360"/>
      <c r="EY73" s="360"/>
      <c r="EZ73" s="360"/>
      <c r="FA73" s="360"/>
      <c r="FB73" s="360"/>
      <c r="FC73" s="360"/>
      <c r="FD73" s="360"/>
      <c r="FE73" s="360"/>
      <c r="FF73" s="360"/>
      <c r="FG73" s="360"/>
      <c r="FH73" s="360"/>
      <c r="FI73" s="360"/>
    </row>
    <row r="74" spans="1:165" s="386" customFormat="1" ht="16.5" customHeight="1">
      <c r="A74" s="614"/>
      <c r="B74" s="1463"/>
      <c r="C74" s="763" t="str">
        <f t="shared" si="16"/>
        <v xml:space="preserve">Naturally occuring pasture - green fodder </v>
      </c>
      <c r="D74" s="521" t="str">
        <f>VLOOKUP(C74,FEED_P[],9,FALSE)</f>
        <v>Natural pasture</v>
      </c>
      <c r="E74" s="620" t="s">
        <v>1095</v>
      </c>
      <c r="F74" s="319">
        <v>0</v>
      </c>
      <c r="G74" s="620">
        <v>0</v>
      </c>
      <c r="H74" s="849"/>
      <c r="I74" s="621" t="s">
        <v>871</v>
      </c>
      <c r="J74" s="1007" t="s">
        <v>972</v>
      </c>
      <c r="K74" s="622">
        <v>30</v>
      </c>
      <c r="L74" s="1106" t="s">
        <v>738</v>
      </c>
      <c r="M74" s="380"/>
      <c r="N74" s="380"/>
      <c r="O74" s="380"/>
      <c r="P74" s="380"/>
      <c r="Q74" s="380"/>
      <c r="R74" s="380"/>
      <c r="S74" s="380"/>
      <c r="T74" s="619"/>
      <c r="U74" s="360"/>
      <c r="V74" s="382"/>
      <c r="W74" s="381"/>
      <c r="X74" s="360"/>
      <c r="Y74" s="619"/>
      <c r="Z74" s="382"/>
      <c r="AA74" s="378"/>
      <c r="AB74" s="360"/>
      <c r="AC74" s="360"/>
      <c r="AD74" s="360"/>
      <c r="AE74" s="360"/>
      <c r="AF74" s="360"/>
      <c r="AG74" s="360"/>
      <c r="AH74" s="360"/>
      <c r="AI74" s="360"/>
      <c r="AJ74" s="360"/>
      <c r="AK74" s="360"/>
      <c r="AL74" s="360"/>
      <c r="AM74" s="360"/>
      <c r="AN74" s="360"/>
      <c r="AO74" s="360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  <c r="CV74" s="360"/>
      <c r="CW74" s="360"/>
      <c r="CX74" s="360"/>
      <c r="CY74" s="360"/>
      <c r="CZ74" s="360"/>
      <c r="DA74" s="360"/>
      <c r="DB74" s="360"/>
      <c r="DC74" s="360"/>
      <c r="DD74" s="360"/>
      <c r="DE74" s="360"/>
      <c r="DF74" s="360"/>
      <c r="DG74" s="360"/>
      <c r="DH74" s="360"/>
      <c r="DI74" s="360"/>
      <c r="DJ74" s="360"/>
      <c r="DK74" s="360"/>
      <c r="DL74" s="360"/>
      <c r="DM74" s="360"/>
      <c r="DN74" s="360"/>
      <c r="DO74" s="360"/>
      <c r="DP74" s="360"/>
      <c r="DQ74" s="360"/>
      <c r="DR74" s="360"/>
      <c r="DS74" s="360"/>
      <c r="DT74" s="360"/>
      <c r="DU74" s="360"/>
      <c r="DV74" s="360"/>
      <c r="DW74" s="360"/>
      <c r="DX74" s="360"/>
      <c r="DY74" s="360"/>
      <c r="DZ74" s="360"/>
      <c r="EA74" s="360"/>
      <c r="EB74" s="360"/>
      <c r="EC74" s="360"/>
      <c r="ED74" s="360"/>
      <c r="EE74" s="360"/>
      <c r="EF74" s="360"/>
      <c r="EG74" s="360"/>
      <c r="EH74" s="360"/>
      <c r="EI74" s="360"/>
      <c r="EJ74" s="360"/>
      <c r="EK74" s="360"/>
      <c r="EL74" s="360"/>
      <c r="EM74" s="360"/>
      <c r="EN74" s="360"/>
      <c r="EO74" s="360"/>
      <c r="EP74" s="360"/>
      <c r="EQ74" s="360"/>
      <c r="ER74" s="360"/>
      <c r="ES74" s="360"/>
      <c r="ET74" s="360"/>
      <c r="EU74" s="360"/>
      <c r="EV74" s="360"/>
      <c r="EW74" s="360"/>
      <c r="EX74" s="360"/>
      <c r="EY74" s="360"/>
      <c r="EZ74" s="360"/>
      <c r="FA74" s="360"/>
      <c r="FB74" s="360"/>
      <c r="FC74" s="360"/>
      <c r="FD74" s="360"/>
      <c r="FE74" s="360"/>
      <c r="FF74" s="360"/>
      <c r="FG74" s="360"/>
      <c r="FH74" s="360"/>
      <c r="FI74" s="360"/>
    </row>
    <row r="75" spans="1:165" ht="30.75" thickBot="1">
      <c r="A75" s="623"/>
      <c r="B75" s="1463"/>
      <c r="C75" s="764" t="str">
        <f t="shared" si="16"/>
        <v>N/A</v>
      </c>
      <c r="D75" s="237" t="str">
        <f>VLOOKUP(C75,FEED_P[],9,FALSE)</f>
        <v>N/A</v>
      </c>
      <c r="E75" s="765" t="s">
        <v>1095</v>
      </c>
      <c r="F75" s="766">
        <v>0</v>
      </c>
      <c r="G75" s="765">
        <v>0</v>
      </c>
      <c r="H75" s="850"/>
      <c r="I75" s="767" t="s">
        <v>872</v>
      </c>
      <c r="J75" s="1008" t="s">
        <v>972</v>
      </c>
      <c r="K75" s="768">
        <v>30</v>
      </c>
      <c r="L75" s="1107" t="s">
        <v>738</v>
      </c>
      <c r="M75" s="380"/>
      <c r="N75" s="380"/>
      <c r="O75" s="380"/>
      <c r="P75" s="380"/>
      <c r="Q75" s="380"/>
      <c r="R75" s="380"/>
      <c r="S75" s="380"/>
      <c r="T75" s="619"/>
      <c r="U75" s="381"/>
      <c r="V75" s="382"/>
      <c r="W75" s="382"/>
      <c r="X75" s="381"/>
      <c r="Z75" s="382"/>
      <c r="AA75" s="378"/>
      <c r="AG75" s="361"/>
      <c r="AN75" s="361"/>
    </row>
    <row r="76" spans="1:165" s="386" customFormat="1" ht="15.75" hidden="1" customHeight="1">
      <c r="A76" s="743"/>
      <c r="B76" s="1463"/>
      <c r="C76" s="761"/>
      <c r="D76" s="762" t="s">
        <v>789</v>
      </c>
      <c r="E76" s="747"/>
      <c r="F76" s="747"/>
      <c r="G76" s="747"/>
      <c r="H76" s="748"/>
      <c r="I76" s="749"/>
      <c r="J76"/>
      <c r="K76" s="756" t="s">
        <v>789</v>
      </c>
      <c r="L76" s="754"/>
      <c r="M76" s="754"/>
      <c r="N76" s="755"/>
      <c r="O76" s="755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  <c r="AH76" s="360"/>
      <c r="AI76" s="360"/>
      <c r="AJ76" s="360"/>
      <c r="AK76" s="360"/>
      <c r="AL76" s="360"/>
      <c r="AM76" s="360"/>
      <c r="AN76" s="360"/>
      <c r="AO76" s="360"/>
      <c r="AP76" s="360"/>
      <c r="AQ76" s="360"/>
      <c r="AR76" s="360"/>
      <c r="AS76" s="360"/>
      <c r="AT76" s="360"/>
      <c r="AU76" s="360"/>
      <c r="AV76" s="360"/>
      <c r="AW76" s="360"/>
      <c r="AX76" s="360"/>
      <c r="AY76" s="360"/>
      <c r="AZ76" s="360"/>
      <c r="BA76" s="360"/>
      <c r="BB76" s="360"/>
      <c r="BC76" s="360"/>
      <c r="BD76" s="360"/>
      <c r="BE76" s="360"/>
      <c r="BF76" s="360"/>
      <c r="BG76" s="360"/>
      <c r="BH76" s="360"/>
      <c r="BI76" s="360"/>
      <c r="BJ76" s="360"/>
      <c r="BK76" s="360"/>
      <c r="BL76" s="360"/>
      <c r="BM76" s="360"/>
      <c r="BN76" s="360"/>
      <c r="BO76" s="360"/>
      <c r="BP76" s="360"/>
      <c r="BQ76" s="360"/>
      <c r="BR76" s="360"/>
      <c r="BS76" s="360"/>
      <c r="BT76" s="360"/>
      <c r="BU76" s="360"/>
      <c r="BV76" s="360"/>
      <c r="BW76" s="360"/>
      <c r="BX76" s="360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  <c r="CV76" s="360"/>
      <c r="CW76" s="360"/>
      <c r="CX76" s="360"/>
      <c r="CY76" s="360"/>
      <c r="CZ76" s="360"/>
      <c r="DA76" s="360"/>
      <c r="DB76" s="360"/>
      <c r="DC76" s="360"/>
      <c r="DD76" s="360"/>
      <c r="DE76" s="360"/>
      <c r="DF76" s="360"/>
      <c r="DG76" s="360"/>
      <c r="DH76" s="360"/>
      <c r="DI76" s="360"/>
      <c r="DJ76" s="360"/>
      <c r="DK76" s="360"/>
      <c r="DL76" s="360"/>
      <c r="DM76" s="360"/>
      <c r="DN76" s="360"/>
      <c r="DO76" s="360"/>
      <c r="DP76" s="360"/>
      <c r="DQ76" s="360"/>
      <c r="DR76" s="360"/>
      <c r="DS76" s="360"/>
      <c r="DT76" s="360"/>
      <c r="DU76" s="360"/>
      <c r="DV76" s="360"/>
      <c r="DW76" s="360"/>
      <c r="DX76" s="360"/>
      <c r="DY76" s="360"/>
      <c r="DZ76" s="360"/>
      <c r="EA76" s="360"/>
      <c r="EB76" s="360"/>
      <c r="EC76" s="360"/>
      <c r="ED76" s="360"/>
      <c r="EE76" s="360"/>
      <c r="EF76" s="360"/>
      <c r="EG76" s="360"/>
      <c r="EH76" s="360"/>
      <c r="EI76" s="360"/>
      <c r="EJ76" s="360"/>
      <c r="EK76" s="360"/>
      <c r="EL76" s="360"/>
      <c r="EM76" s="360"/>
      <c r="EN76" s="360"/>
      <c r="EO76" s="360"/>
      <c r="EP76" s="360"/>
      <c r="EQ76" s="360"/>
      <c r="ER76" s="360"/>
      <c r="ES76" s="360"/>
      <c r="ET76" s="360"/>
      <c r="EU76" s="360"/>
      <c r="EV76" s="360"/>
      <c r="EW76" s="360"/>
      <c r="EX76" s="360"/>
      <c r="EY76" s="360"/>
      <c r="EZ76" s="360"/>
      <c r="FA76" s="360"/>
      <c r="FB76" s="360"/>
      <c r="FC76" s="360"/>
      <c r="FD76" s="360"/>
      <c r="FE76" s="360"/>
      <c r="FF76" s="360"/>
      <c r="FG76" s="360"/>
      <c r="FH76" s="360"/>
      <c r="FI76" s="360"/>
    </row>
    <row r="77" spans="1:165" s="386" customFormat="1" ht="15.75" hidden="1" customHeight="1">
      <c r="A77" s="743"/>
      <c r="B77" s="1463"/>
      <c r="C77" s="384"/>
      <c r="D77" s="385" t="s">
        <v>789</v>
      </c>
      <c r="E77" s="744"/>
      <c r="F77" s="744"/>
      <c r="G77" s="744"/>
      <c r="H77" s="745"/>
      <c r="I77" s="746"/>
      <c r="J77"/>
      <c r="K77" s="757" t="s">
        <v>789</v>
      </c>
      <c r="L77" s="754"/>
      <c r="M77" s="754"/>
      <c r="N77" s="755"/>
      <c r="O77" s="755"/>
      <c r="P77" s="360"/>
      <c r="Q77" s="360"/>
      <c r="R77" s="360"/>
      <c r="S77" s="360"/>
      <c r="T77" s="360"/>
      <c r="U77" s="360"/>
      <c r="V77" s="360"/>
      <c r="W77" s="360"/>
      <c r="X77" s="360"/>
      <c r="Y77" s="360"/>
      <c r="Z77" s="360"/>
      <c r="AA77" s="360"/>
      <c r="AB77" s="360"/>
      <c r="AC77" s="360"/>
      <c r="AD77" s="360"/>
      <c r="AE77" s="360"/>
      <c r="AF77" s="360"/>
      <c r="AG77" s="360"/>
      <c r="AH77" s="360"/>
      <c r="AI77" s="360"/>
      <c r="AJ77" s="360"/>
      <c r="AK77" s="360"/>
      <c r="AL77" s="360"/>
      <c r="AM77" s="360"/>
      <c r="AN77" s="360"/>
      <c r="AO77" s="360"/>
      <c r="AP77" s="360"/>
      <c r="AQ77" s="360"/>
      <c r="AR77" s="360"/>
      <c r="AS77" s="360"/>
      <c r="AT77" s="360"/>
      <c r="AU77" s="360"/>
      <c r="AV77" s="360"/>
      <c r="AW77" s="360"/>
      <c r="AX77" s="360"/>
      <c r="AY77" s="360"/>
      <c r="AZ77" s="360"/>
      <c r="BA77" s="360"/>
      <c r="BB77" s="360"/>
      <c r="BC77" s="360"/>
      <c r="BD77" s="360"/>
      <c r="BE77" s="360"/>
      <c r="BF77" s="360"/>
      <c r="BG77" s="360"/>
      <c r="BH77" s="360"/>
      <c r="BI77" s="360"/>
      <c r="BJ77" s="360"/>
      <c r="BK77" s="360"/>
      <c r="BL77" s="360"/>
      <c r="BM77" s="360"/>
      <c r="BN77" s="360"/>
      <c r="BO77" s="360"/>
      <c r="BP77" s="360"/>
      <c r="BQ77" s="360"/>
      <c r="BR77" s="360"/>
      <c r="BS77" s="360"/>
      <c r="BT77" s="360"/>
      <c r="BU77" s="360"/>
      <c r="BV77" s="360"/>
      <c r="BW77" s="360"/>
      <c r="BX77" s="360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  <c r="CV77" s="360"/>
      <c r="CW77" s="360"/>
      <c r="CX77" s="360"/>
      <c r="CY77" s="360"/>
      <c r="CZ77" s="360"/>
      <c r="DA77" s="360"/>
      <c r="DB77" s="360"/>
      <c r="DC77" s="360"/>
      <c r="DD77" s="360"/>
      <c r="DE77" s="360"/>
      <c r="DF77" s="360"/>
      <c r="DG77" s="360"/>
      <c r="DH77" s="360"/>
      <c r="DI77" s="360"/>
      <c r="DJ77" s="360"/>
      <c r="DK77" s="360"/>
      <c r="DL77" s="360"/>
      <c r="DM77" s="360"/>
      <c r="DN77" s="360"/>
      <c r="DO77" s="360"/>
      <c r="DP77" s="360"/>
      <c r="DQ77" s="360"/>
      <c r="DR77" s="360"/>
      <c r="DS77" s="360"/>
      <c r="DT77" s="360"/>
      <c r="DU77" s="360"/>
      <c r="DV77" s="360"/>
      <c r="DW77" s="360"/>
      <c r="DX77" s="360"/>
      <c r="DY77" s="360"/>
      <c r="DZ77" s="360"/>
      <c r="EA77" s="360"/>
      <c r="EB77" s="360"/>
      <c r="EC77" s="360"/>
      <c r="ED77" s="360"/>
      <c r="EE77" s="360"/>
      <c r="EF77" s="360"/>
      <c r="EG77" s="360"/>
      <c r="EH77" s="360"/>
      <c r="EI77" s="360"/>
      <c r="EJ77" s="360"/>
      <c r="EK77" s="360"/>
      <c r="EL77" s="360"/>
      <c r="EM77" s="360"/>
      <c r="EN77" s="360"/>
      <c r="EO77" s="360"/>
      <c r="EP77" s="360"/>
      <c r="EQ77" s="360"/>
      <c r="ER77" s="360"/>
      <c r="ES77" s="360"/>
      <c r="ET77" s="360"/>
      <c r="EU77" s="360"/>
      <c r="EV77" s="360"/>
      <c r="EW77" s="360"/>
      <c r="EX77" s="360"/>
      <c r="EY77" s="360"/>
      <c r="EZ77" s="360"/>
      <c r="FA77" s="360"/>
      <c r="FB77" s="360"/>
      <c r="FC77" s="360"/>
      <c r="FD77" s="360"/>
      <c r="FE77" s="360"/>
      <c r="FF77" s="360"/>
      <c r="FG77" s="360"/>
      <c r="FH77" s="360"/>
      <c r="FI77" s="360"/>
    </row>
    <row r="78" spans="1:165" s="386" customFormat="1" ht="15.75" hidden="1" customHeight="1">
      <c r="A78" s="743"/>
      <c r="B78" s="1463"/>
      <c r="C78" s="384"/>
      <c r="D78" s="385" t="s">
        <v>789</v>
      </c>
      <c r="E78" s="744"/>
      <c r="F78" s="744"/>
      <c r="G78" s="744"/>
      <c r="H78" s="745"/>
      <c r="I78" s="746"/>
      <c r="J78"/>
      <c r="K78" s="757" t="s">
        <v>789</v>
      </c>
      <c r="L78" s="754"/>
      <c r="M78" s="754"/>
      <c r="N78" s="755"/>
      <c r="O78" s="755"/>
      <c r="P78" s="360"/>
      <c r="Q78" s="360"/>
      <c r="R78" s="360"/>
      <c r="S78" s="360"/>
      <c r="T78" s="360"/>
      <c r="U78" s="360"/>
      <c r="V78" s="360"/>
      <c r="W78" s="360"/>
      <c r="X78" s="360"/>
      <c r="Y78" s="360"/>
      <c r="Z78" s="360"/>
      <c r="AA78" s="360"/>
      <c r="AB78" s="360"/>
      <c r="AC78" s="360"/>
      <c r="AD78" s="360"/>
      <c r="AE78" s="360"/>
      <c r="AF78" s="360"/>
      <c r="AG78" s="360"/>
      <c r="AH78" s="360"/>
      <c r="AI78" s="360"/>
      <c r="AJ78" s="360"/>
      <c r="AK78" s="360"/>
      <c r="AL78" s="360"/>
      <c r="AM78" s="360"/>
      <c r="AN78" s="360"/>
      <c r="AO78" s="360"/>
      <c r="AP78" s="360"/>
      <c r="AQ78" s="360"/>
      <c r="AR78" s="360"/>
      <c r="AS78" s="360"/>
      <c r="AT78" s="360"/>
      <c r="AU78" s="360"/>
      <c r="AV78" s="360"/>
      <c r="AW78" s="360"/>
      <c r="AX78" s="360"/>
      <c r="AY78" s="360"/>
      <c r="AZ78" s="360"/>
      <c r="BA78" s="360"/>
      <c r="BB78" s="360"/>
      <c r="BC78" s="360"/>
      <c r="BD78" s="360"/>
      <c r="BE78" s="360"/>
      <c r="BF78" s="360"/>
      <c r="BG78" s="360"/>
      <c r="BH78" s="360"/>
      <c r="BI78" s="360"/>
      <c r="BJ78" s="360"/>
      <c r="BK78" s="360"/>
      <c r="BL78" s="360"/>
      <c r="BM78" s="360"/>
      <c r="BN78" s="360"/>
      <c r="BO78" s="360"/>
      <c r="BP78" s="360"/>
      <c r="BQ78" s="360"/>
      <c r="BR78" s="360"/>
      <c r="BS78" s="360"/>
      <c r="BT78" s="360"/>
      <c r="BU78" s="360"/>
      <c r="BV78" s="360"/>
      <c r="BW78" s="360"/>
      <c r="BX78" s="360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  <c r="CV78" s="360"/>
      <c r="CW78" s="360"/>
      <c r="CX78" s="360"/>
      <c r="CY78" s="360"/>
      <c r="CZ78" s="360"/>
      <c r="DA78" s="360"/>
      <c r="DB78" s="360"/>
      <c r="DC78" s="360"/>
      <c r="DD78" s="360"/>
      <c r="DE78" s="360"/>
      <c r="DF78" s="360"/>
      <c r="DG78" s="360"/>
      <c r="DH78" s="360"/>
      <c r="DI78" s="360"/>
      <c r="DJ78" s="360"/>
      <c r="DK78" s="360"/>
      <c r="DL78" s="360"/>
      <c r="DM78" s="360"/>
      <c r="DN78" s="360"/>
      <c r="DO78" s="360"/>
      <c r="DP78" s="360"/>
      <c r="DQ78" s="360"/>
      <c r="DR78" s="360"/>
      <c r="DS78" s="360"/>
      <c r="DT78" s="360"/>
      <c r="DU78" s="360"/>
      <c r="DV78" s="360"/>
      <c r="DW78" s="360"/>
      <c r="DX78" s="360"/>
      <c r="DY78" s="360"/>
      <c r="DZ78" s="360"/>
      <c r="EA78" s="360"/>
      <c r="EB78" s="360"/>
      <c r="EC78" s="360"/>
      <c r="ED78" s="360"/>
      <c r="EE78" s="360"/>
      <c r="EF78" s="360"/>
      <c r="EG78" s="360"/>
      <c r="EH78" s="360"/>
      <c r="EI78" s="360"/>
      <c r="EJ78" s="360"/>
      <c r="EK78" s="360"/>
      <c r="EL78" s="360"/>
      <c r="EM78" s="360"/>
      <c r="EN78" s="360"/>
      <c r="EO78" s="360"/>
      <c r="EP78" s="360"/>
      <c r="EQ78" s="360"/>
      <c r="ER78" s="360"/>
      <c r="ES78" s="360"/>
      <c r="ET78" s="360"/>
      <c r="EU78" s="360"/>
      <c r="EV78" s="360"/>
      <c r="EW78" s="360"/>
      <c r="EX78" s="360"/>
      <c r="EY78" s="360"/>
      <c r="EZ78" s="360"/>
      <c r="FA78" s="360"/>
      <c r="FB78" s="360"/>
      <c r="FC78" s="360"/>
      <c r="FD78" s="360"/>
      <c r="FE78" s="360"/>
      <c r="FF78" s="360"/>
      <c r="FG78" s="360"/>
      <c r="FH78" s="360"/>
      <c r="FI78" s="360"/>
    </row>
    <row r="79" spans="1:165" s="386" customFormat="1" ht="15.75" hidden="1" customHeight="1">
      <c r="A79" s="743"/>
      <c r="B79" s="1463"/>
      <c r="C79" s="384"/>
      <c r="D79" s="385" t="s">
        <v>789</v>
      </c>
      <c r="E79" s="744"/>
      <c r="F79" s="744"/>
      <c r="G79" s="744"/>
      <c r="H79" s="745"/>
      <c r="I79" s="746"/>
      <c r="J79"/>
      <c r="K79" s="757" t="s">
        <v>789</v>
      </c>
      <c r="L79" s="754"/>
      <c r="M79" s="754"/>
      <c r="N79" s="755"/>
      <c r="O79" s="755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360"/>
      <c r="BB79" s="360"/>
      <c r="BC79" s="360"/>
      <c r="BD79" s="360"/>
      <c r="BE79" s="360"/>
      <c r="BF79" s="360"/>
      <c r="BG79" s="360"/>
      <c r="BH79" s="360"/>
      <c r="BI79" s="360"/>
      <c r="BJ79" s="360"/>
      <c r="BK79" s="360"/>
      <c r="BL79" s="360"/>
      <c r="BM79" s="360"/>
      <c r="BN79" s="360"/>
      <c r="BO79" s="360"/>
      <c r="BP79" s="360"/>
      <c r="BQ79" s="360"/>
      <c r="BR79" s="360"/>
      <c r="BS79" s="360"/>
      <c r="BT79" s="360"/>
      <c r="BU79" s="360"/>
      <c r="BV79" s="360"/>
      <c r="BW79" s="360"/>
      <c r="BX79" s="360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  <c r="CV79" s="360"/>
      <c r="CW79" s="360"/>
      <c r="CX79" s="360"/>
      <c r="CY79" s="360"/>
      <c r="CZ79" s="360"/>
      <c r="DA79" s="360"/>
      <c r="DB79" s="360"/>
      <c r="DC79" s="360"/>
      <c r="DD79" s="360"/>
      <c r="DE79" s="360"/>
      <c r="DF79" s="360"/>
      <c r="DG79" s="360"/>
      <c r="DH79" s="360"/>
      <c r="DI79" s="360"/>
      <c r="DJ79" s="360"/>
      <c r="DK79" s="360"/>
      <c r="DL79" s="360"/>
      <c r="DM79" s="360"/>
      <c r="DN79" s="360"/>
      <c r="DO79" s="360"/>
      <c r="DP79" s="360"/>
      <c r="DQ79" s="360"/>
      <c r="DR79" s="360"/>
      <c r="DS79" s="360"/>
      <c r="DT79" s="360"/>
      <c r="DU79" s="360"/>
      <c r="DV79" s="360"/>
      <c r="DW79" s="360"/>
      <c r="DX79" s="360"/>
      <c r="DY79" s="360"/>
      <c r="DZ79" s="360"/>
      <c r="EA79" s="360"/>
      <c r="EB79" s="360"/>
      <c r="EC79" s="360"/>
      <c r="ED79" s="360"/>
      <c r="EE79" s="360"/>
      <c r="EF79" s="360"/>
      <c r="EG79" s="360"/>
      <c r="EH79" s="360"/>
      <c r="EI79" s="360"/>
      <c r="EJ79" s="360"/>
      <c r="EK79" s="360"/>
      <c r="EL79" s="360"/>
      <c r="EM79" s="360"/>
      <c r="EN79" s="360"/>
      <c r="EO79" s="360"/>
      <c r="EP79" s="360"/>
      <c r="EQ79" s="360"/>
      <c r="ER79" s="360"/>
      <c r="ES79" s="360"/>
      <c r="ET79" s="360"/>
      <c r="EU79" s="360"/>
      <c r="EV79" s="360"/>
      <c r="EW79" s="360"/>
      <c r="EX79" s="360"/>
      <c r="EY79" s="360"/>
      <c r="EZ79" s="360"/>
      <c r="FA79" s="360"/>
      <c r="FB79" s="360"/>
      <c r="FC79" s="360"/>
      <c r="FD79" s="360"/>
      <c r="FE79" s="360"/>
      <c r="FF79" s="360"/>
      <c r="FG79" s="360"/>
      <c r="FH79" s="360"/>
      <c r="FI79" s="360"/>
    </row>
    <row r="80" spans="1:165" s="386" customFormat="1" ht="15.75" hidden="1" customHeight="1">
      <c r="A80" s="743"/>
      <c r="B80" s="1463"/>
      <c r="C80" s="384"/>
      <c r="D80" s="385" t="s">
        <v>789</v>
      </c>
      <c r="E80" s="744"/>
      <c r="F80" s="744"/>
      <c r="G80" s="744"/>
      <c r="H80" s="745"/>
      <c r="I80" s="746"/>
      <c r="J80"/>
      <c r="K80" s="757" t="s">
        <v>789</v>
      </c>
      <c r="L80" s="754"/>
      <c r="M80" s="754"/>
      <c r="N80" s="755"/>
      <c r="O80" s="755"/>
      <c r="P80" s="360"/>
      <c r="Q80" s="360"/>
      <c r="R80" s="360"/>
      <c r="S80" s="360"/>
      <c r="T80" s="360"/>
      <c r="U80" s="360"/>
      <c r="V80" s="360"/>
      <c r="W80" s="360"/>
      <c r="X80" s="360"/>
      <c r="Y80" s="360"/>
      <c r="Z80" s="360"/>
      <c r="AA80" s="360"/>
      <c r="AB80" s="360"/>
      <c r="AC80" s="360"/>
      <c r="AD80" s="360"/>
      <c r="AE80" s="360"/>
      <c r="AF80" s="360"/>
      <c r="AG80" s="360"/>
      <c r="AH80" s="360"/>
      <c r="AI80" s="360"/>
      <c r="AJ80" s="360"/>
      <c r="AK80" s="360"/>
      <c r="AL80" s="360"/>
      <c r="AM80" s="360"/>
      <c r="AN80" s="360"/>
      <c r="AO80" s="360"/>
      <c r="AP80" s="360"/>
      <c r="AQ80" s="360"/>
      <c r="AR80" s="360"/>
      <c r="AS80" s="360"/>
      <c r="AT80" s="360"/>
      <c r="AU80" s="360"/>
      <c r="AV80" s="360"/>
      <c r="AW80" s="360"/>
      <c r="AX80" s="360"/>
      <c r="AY80" s="360"/>
      <c r="AZ80" s="360"/>
      <c r="BA80" s="360"/>
      <c r="BB80" s="360"/>
      <c r="BC80" s="360"/>
      <c r="BD80" s="360"/>
      <c r="BE80" s="360"/>
      <c r="BF80" s="360"/>
      <c r="BG80" s="360"/>
      <c r="BH80" s="360"/>
      <c r="BI80" s="360"/>
      <c r="BJ80" s="360"/>
      <c r="BK80" s="360"/>
      <c r="BL80" s="360"/>
      <c r="BM80" s="360"/>
      <c r="BN80" s="360"/>
      <c r="BO80" s="360"/>
      <c r="BP80" s="360"/>
      <c r="BQ80" s="360"/>
      <c r="BR80" s="360"/>
      <c r="BS80" s="360"/>
      <c r="BT80" s="360"/>
      <c r="BU80" s="360"/>
      <c r="BV80" s="360"/>
      <c r="BW80" s="360"/>
      <c r="BX80" s="360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  <c r="CV80" s="360"/>
      <c r="CW80" s="360"/>
      <c r="CX80" s="360"/>
      <c r="CY80" s="360"/>
      <c r="CZ80" s="360"/>
      <c r="DA80" s="360"/>
      <c r="DB80" s="360"/>
      <c r="DC80" s="360"/>
      <c r="DD80" s="360"/>
      <c r="DE80" s="360"/>
      <c r="DF80" s="360"/>
      <c r="DG80" s="360"/>
      <c r="DH80" s="360"/>
      <c r="DI80" s="360"/>
      <c r="DJ80" s="360"/>
      <c r="DK80" s="360"/>
      <c r="DL80" s="360"/>
      <c r="DM80" s="360"/>
      <c r="DN80" s="360"/>
      <c r="DO80" s="360"/>
      <c r="DP80" s="360"/>
      <c r="DQ80" s="360"/>
      <c r="DR80" s="360"/>
      <c r="DS80" s="360"/>
      <c r="DT80" s="360"/>
      <c r="DU80" s="360"/>
      <c r="DV80" s="360"/>
      <c r="DW80" s="360"/>
      <c r="DX80" s="360"/>
      <c r="DY80" s="360"/>
      <c r="DZ80" s="360"/>
      <c r="EA80" s="360"/>
      <c r="EB80" s="360"/>
      <c r="EC80" s="360"/>
      <c r="ED80" s="360"/>
      <c r="EE80" s="360"/>
      <c r="EF80" s="360"/>
      <c r="EG80" s="360"/>
      <c r="EH80" s="360"/>
      <c r="EI80" s="360"/>
      <c r="EJ80" s="360"/>
      <c r="EK80" s="360"/>
      <c r="EL80" s="360"/>
      <c r="EM80" s="360"/>
      <c r="EN80" s="360"/>
      <c r="EO80" s="360"/>
      <c r="EP80" s="360"/>
      <c r="EQ80" s="360"/>
      <c r="ER80" s="360"/>
      <c r="ES80" s="360"/>
      <c r="ET80" s="360"/>
      <c r="EU80" s="360"/>
      <c r="EV80" s="360"/>
      <c r="EW80" s="360"/>
      <c r="EX80" s="360"/>
      <c r="EY80" s="360"/>
      <c r="EZ80" s="360"/>
      <c r="FA80" s="360"/>
      <c r="FB80" s="360"/>
      <c r="FC80" s="360"/>
      <c r="FD80" s="360"/>
      <c r="FE80" s="360"/>
      <c r="FF80" s="360"/>
      <c r="FG80" s="360"/>
      <c r="FH80" s="360"/>
      <c r="FI80" s="360"/>
    </row>
    <row r="81" spans="1:165" s="386" customFormat="1" ht="16.5" hidden="1" customHeight="1" thickBot="1">
      <c r="A81" s="743"/>
      <c r="B81" s="1463"/>
      <c r="C81" s="387"/>
      <c r="D81" s="388" t="s">
        <v>789</v>
      </c>
      <c r="E81" s="750"/>
      <c r="F81" s="744"/>
      <c r="G81" s="751"/>
      <c r="H81" s="752"/>
      <c r="I81" s="753"/>
      <c r="J81"/>
      <c r="K81" s="758" t="s">
        <v>789</v>
      </c>
      <c r="L81" s="754"/>
      <c r="M81" s="754"/>
      <c r="N81" s="755"/>
      <c r="O81" s="755"/>
      <c r="P81" s="360"/>
      <c r="Q81" s="360"/>
      <c r="R81" s="360"/>
      <c r="S81" s="360"/>
      <c r="T81" s="360"/>
      <c r="U81" s="360"/>
      <c r="V81" s="360"/>
      <c r="W81" s="360"/>
      <c r="X81" s="360"/>
      <c r="Y81" s="360"/>
      <c r="Z81" s="360"/>
      <c r="AA81" s="360"/>
      <c r="AB81" s="360"/>
      <c r="AC81" s="360"/>
      <c r="AD81" s="360"/>
      <c r="AE81" s="360"/>
      <c r="AF81" s="360"/>
      <c r="AG81" s="360"/>
      <c r="AH81" s="360"/>
      <c r="AI81" s="360"/>
      <c r="AJ81" s="360"/>
      <c r="AK81" s="360"/>
      <c r="AL81" s="360"/>
      <c r="AM81" s="360"/>
      <c r="AN81" s="360"/>
      <c r="AO81" s="360"/>
      <c r="AP81" s="360"/>
      <c r="AQ81" s="360"/>
      <c r="AR81" s="360"/>
      <c r="AS81" s="360"/>
      <c r="AT81" s="360"/>
      <c r="AU81" s="360"/>
      <c r="AV81" s="360"/>
      <c r="AW81" s="360"/>
      <c r="AX81" s="360"/>
      <c r="AY81" s="360"/>
      <c r="AZ81" s="360"/>
      <c r="BA81" s="360"/>
      <c r="BB81" s="360"/>
      <c r="BC81" s="360"/>
      <c r="BD81" s="360"/>
      <c r="BE81" s="360"/>
      <c r="BF81" s="360"/>
      <c r="BG81" s="360"/>
      <c r="BH81" s="360"/>
      <c r="BI81" s="360"/>
      <c r="BJ81" s="360"/>
      <c r="BK81" s="360"/>
      <c r="BL81" s="360"/>
      <c r="BM81" s="360"/>
      <c r="BN81" s="360"/>
      <c r="BO81" s="360"/>
      <c r="BP81" s="360"/>
      <c r="BQ81" s="360"/>
      <c r="BR81" s="360"/>
      <c r="BS81" s="360"/>
      <c r="BT81" s="360"/>
      <c r="BU81" s="360"/>
      <c r="BV81" s="360"/>
      <c r="BW81" s="360"/>
      <c r="BX81" s="36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  <c r="CV81" s="360"/>
      <c r="CW81" s="360"/>
      <c r="CX81" s="360"/>
      <c r="CY81" s="360"/>
      <c r="CZ81" s="360"/>
      <c r="DA81" s="360"/>
      <c r="DB81" s="360"/>
      <c r="DC81" s="360"/>
      <c r="DD81" s="360"/>
      <c r="DE81" s="360"/>
      <c r="DF81" s="360"/>
      <c r="DG81" s="360"/>
      <c r="DH81" s="360"/>
      <c r="DI81" s="360"/>
      <c r="DJ81" s="360"/>
      <c r="DK81" s="360"/>
      <c r="DL81" s="360"/>
      <c r="DM81" s="360"/>
      <c r="DN81" s="360"/>
      <c r="DO81" s="360"/>
      <c r="DP81" s="360"/>
      <c r="DQ81" s="360"/>
      <c r="DR81" s="360"/>
      <c r="DS81" s="360"/>
      <c r="DT81" s="360"/>
      <c r="DU81" s="360"/>
      <c r="DV81" s="360"/>
      <c r="DW81" s="360"/>
      <c r="DX81" s="360"/>
      <c r="DY81" s="360"/>
      <c r="DZ81" s="360"/>
      <c r="EA81" s="360"/>
      <c r="EB81" s="360"/>
      <c r="EC81" s="360"/>
      <c r="ED81" s="360"/>
      <c r="EE81" s="360"/>
      <c r="EF81" s="360"/>
      <c r="EG81" s="360"/>
      <c r="EH81" s="360"/>
      <c r="EI81" s="360"/>
      <c r="EJ81" s="360"/>
      <c r="EK81" s="360"/>
      <c r="EL81" s="360"/>
      <c r="EM81" s="360"/>
      <c r="EN81" s="360"/>
      <c r="EO81" s="360"/>
      <c r="EP81" s="360"/>
      <c r="EQ81" s="360"/>
      <c r="ER81" s="360"/>
      <c r="ES81" s="360"/>
      <c r="ET81" s="360"/>
      <c r="EU81" s="360"/>
      <c r="EV81" s="360"/>
      <c r="EW81" s="360"/>
      <c r="EX81" s="360"/>
      <c r="EY81" s="360"/>
      <c r="EZ81" s="360"/>
      <c r="FA81" s="360"/>
      <c r="FB81" s="360"/>
      <c r="FC81" s="360"/>
      <c r="FD81" s="360"/>
      <c r="FE81" s="360"/>
      <c r="FF81" s="360"/>
      <c r="FG81" s="360"/>
      <c r="FH81" s="360"/>
      <c r="FI81" s="360"/>
    </row>
    <row r="82" spans="1:165" ht="16.5" thickBot="1">
      <c r="A82" s="614"/>
      <c r="B82" s="1463"/>
      <c r="C82" s="389"/>
      <c r="D82" s="614"/>
      <c r="E82" s="619"/>
      <c r="I82" s="311"/>
      <c r="M82" s="860"/>
      <c r="N82" s="860"/>
      <c r="T82" s="382"/>
      <c r="U82" s="382"/>
      <c r="V82" s="391"/>
      <c r="W82" s="378"/>
      <c r="X82" s="382"/>
      <c r="Y82" s="382"/>
      <c r="Z82" s="391"/>
      <c r="AM82" s="361"/>
      <c r="AW82" s="361"/>
    </row>
    <row r="83" spans="1:165" ht="31.5">
      <c r="A83" s="613"/>
      <c r="B83" s="1463"/>
      <c r="C83" s="366" t="str">
        <f t="shared" ref="C83:C90" si="17">C68</f>
        <v>Feed item</v>
      </c>
      <c r="D83" s="514"/>
      <c r="E83" s="514" t="s">
        <v>1285</v>
      </c>
      <c r="F83" s="514" t="s">
        <v>1134</v>
      </c>
      <c r="G83" s="515" t="s">
        <v>1135</v>
      </c>
      <c r="H83" s="1034"/>
      <c r="I83" s="1014"/>
      <c r="J83" s="1014"/>
      <c r="K83" s="1014"/>
      <c r="L83" s="1014"/>
      <c r="M83" s="1014"/>
      <c r="N83" s="1014"/>
      <c r="O83" s="381"/>
      <c r="P83" s="381"/>
      <c r="Q83" s="381"/>
      <c r="R83" s="381"/>
      <c r="S83" s="381"/>
      <c r="T83" s="382"/>
      <c r="U83" s="378"/>
      <c r="V83" s="391"/>
      <c r="W83" s="391"/>
      <c r="X83" s="378"/>
      <c r="Y83" s="382"/>
      <c r="Z83" s="391"/>
      <c r="AM83" s="361"/>
      <c r="AW83" s="361"/>
    </row>
    <row r="84" spans="1:165">
      <c r="A84" s="614"/>
      <c r="B84" s="1463"/>
      <c r="C84" s="763" t="str">
        <f t="shared" si="17"/>
        <v>Concentrate (commercial)</v>
      </c>
      <c r="D84" s="112" t="str">
        <f t="shared" ref="D84:D90" si="18">IF(E69="Residue", D69, "-")</f>
        <v>-</v>
      </c>
      <c r="E84" s="597">
        <v>1</v>
      </c>
      <c r="F84" s="597"/>
      <c r="G84" s="575">
        <v>0</v>
      </c>
      <c r="H84" s="860"/>
      <c r="I84" s="1015"/>
      <c r="J84" s="1014"/>
      <c r="K84" s="1015"/>
      <c r="L84" s="1015"/>
      <c r="M84" s="1015"/>
      <c r="N84" s="1015"/>
      <c r="O84" s="382"/>
      <c r="P84" s="382"/>
      <c r="Q84" s="382"/>
      <c r="R84" s="382"/>
      <c r="S84" s="382"/>
      <c r="T84" s="382"/>
      <c r="U84" s="391"/>
      <c r="V84" s="391"/>
      <c r="W84" s="391"/>
      <c r="X84" s="391"/>
      <c r="Y84" s="378"/>
      <c r="Z84" s="391"/>
      <c r="AM84" s="361"/>
      <c r="AW84" s="361"/>
    </row>
    <row r="85" spans="1:165">
      <c r="A85" s="614"/>
      <c r="B85" s="1463"/>
      <c r="C85" s="769" t="str">
        <f t="shared" si="17"/>
        <v>Pennisetum purpureum - forage</v>
      </c>
      <c r="D85" s="112" t="str">
        <f t="shared" si="18"/>
        <v>-</v>
      </c>
      <c r="E85" s="597">
        <v>1</v>
      </c>
      <c r="F85" s="597"/>
      <c r="G85" s="575">
        <v>0</v>
      </c>
      <c r="H85" s="860"/>
      <c r="I85" s="1015"/>
      <c r="J85" s="1014"/>
      <c r="K85" s="1015"/>
      <c r="L85" s="1015"/>
      <c r="M85" s="1015"/>
      <c r="N85" s="1015"/>
      <c r="O85" s="382"/>
      <c r="P85" s="382"/>
      <c r="Q85" s="382"/>
      <c r="R85" s="382"/>
      <c r="S85" s="382"/>
      <c r="T85" s="378"/>
      <c r="U85" s="391"/>
      <c r="V85" s="391"/>
      <c r="W85" s="391"/>
      <c r="X85" s="391"/>
      <c r="Y85" s="391"/>
      <c r="Z85" s="391"/>
      <c r="AM85" s="361"/>
      <c r="AW85" s="361"/>
    </row>
    <row r="86" spans="1:165" ht="17.25" customHeight="1">
      <c r="A86" s="614"/>
      <c r="B86" s="1463"/>
      <c r="C86" s="769" t="str">
        <f t="shared" si="17"/>
        <v>Rhodes grass (Chloris gayana) - forage</v>
      </c>
      <c r="D86" s="112" t="str">
        <f t="shared" si="18"/>
        <v>-</v>
      </c>
      <c r="E86" s="597">
        <v>1</v>
      </c>
      <c r="F86" s="597"/>
      <c r="G86" s="575">
        <v>0</v>
      </c>
      <c r="H86" s="860"/>
      <c r="I86" s="1015"/>
      <c r="J86" s="1014"/>
      <c r="K86" s="1015"/>
      <c r="L86" s="1015"/>
      <c r="M86" s="1015"/>
      <c r="N86" s="1015"/>
      <c r="O86" s="382"/>
      <c r="P86" s="382"/>
      <c r="Q86" s="382"/>
      <c r="R86" s="382"/>
      <c r="S86" s="382"/>
      <c r="T86" s="391"/>
      <c r="U86" s="391"/>
      <c r="V86" s="391"/>
      <c r="W86" s="391"/>
      <c r="X86" s="391"/>
      <c r="Y86" s="391"/>
      <c r="Z86" s="391"/>
      <c r="AM86" s="361"/>
      <c r="AW86" s="361"/>
    </row>
    <row r="87" spans="1:165">
      <c r="A87" s="614"/>
      <c r="B87" s="1463"/>
      <c r="C87" s="769" t="str">
        <f t="shared" si="17"/>
        <v>Guatemala (Tripsacum andersonii) - forage</v>
      </c>
      <c r="D87" s="112" t="str">
        <f t="shared" si="18"/>
        <v>-</v>
      </c>
      <c r="E87" s="597">
        <v>1</v>
      </c>
      <c r="F87" s="597"/>
      <c r="G87" s="575">
        <v>0</v>
      </c>
      <c r="H87" s="860"/>
      <c r="I87" s="1015"/>
      <c r="J87" s="1014"/>
      <c r="K87" s="1015"/>
      <c r="L87" s="1015"/>
      <c r="M87" s="1015"/>
      <c r="N87" s="1015"/>
      <c r="O87" s="382"/>
      <c r="P87" s="382"/>
      <c r="Q87" s="382"/>
      <c r="R87" s="382"/>
      <c r="S87" s="382"/>
      <c r="T87" s="391"/>
      <c r="U87" s="391"/>
      <c r="V87" s="391"/>
      <c r="W87" s="391"/>
      <c r="X87" s="391"/>
      <c r="Y87" s="391"/>
      <c r="Z87" s="391"/>
      <c r="AM87" s="361"/>
      <c r="AW87" s="361"/>
    </row>
    <row r="88" spans="1:165">
      <c r="A88" s="614"/>
      <c r="B88" s="1463"/>
      <c r="C88" s="769" t="str">
        <f t="shared" si="17"/>
        <v>Maize (Zea mays) - stover</v>
      </c>
      <c r="D88" s="112" t="str">
        <f t="shared" si="18"/>
        <v>Maize</v>
      </c>
      <c r="E88" s="597">
        <v>0.4</v>
      </c>
      <c r="F88" s="597">
        <v>0.6</v>
      </c>
      <c r="G88" s="575">
        <v>0</v>
      </c>
      <c r="H88" s="860"/>
      <c r="I88" s="1015"/>
      <c r="J88" s="1014"/>
      <c r="K88" s="1015"/>
      <c r="L88" s="1015"/>
      <c r="M88" s="1015"/>
      <c r="N88" s="1015"/>
      <c r="O88" s="382"/>
      <c r="P88" s="382"/>
      <c r="Q88" s="382"/>
      <c r="R88" s="382"/>
      <c r="S88" s="382"/>
      <c r="T88" s="391"/>
      <c r="U88" s="391"/>
      <c r="V88" s="391"/>
      <c r="W88" s="391"/>
      <c r="X88" s="391"/>
      <c r="Y88" s="391"/>
      <c r="Z88" s="391"/>
      <c r="AM88" s="361"/>
      <c r="AW88" s="361"/>
      <c r="AY88" s="361"/>
    </row>
    <row r="89" spans="1:165">
      <c r="A89" s="614"/>
      <c r="B89" s="1463"/>
      <c r="C89" s="769" t="str">
        <f t="shared" si="17"/>
        <v xml:space="preserve">Naturally occuring pasture - green fodder </v>
      </c>
      <c r="D89" s="112" t="str">
        <f t="shared" si="18"/>
        <v>-</v>
      </c>
      <c r="E89" s="597">
        <v>1</v>
      </c>
      <c r="F89" s="597"/>
      <c r="G89" s="575">
        <v>0</v>
      </c>
      <c r="H89" s="860"/>
      <c r="I89" s="1015"/>
      <c r="J89" s="1014"/>
      <c r="K89" s="1015"/>
      <c r="L89" s="1015"/>
      <c r="M89" s="1015"/>
      <c r="N89" s="1015"/>
      <c r="O89" s="382"/>
      <c r="P89" s="382"/>
      <c r="Q89" s="382"/>
      <c r="R89" s="382"/>
      <c r="S89" s="382"/>
      <c r="T89" s="391"/>
      <c r="U89" s="391"/>
      <c r="V89" s="391"/>
      <c r="W89" s="391"/>
      <c r="X89" s="391"/>
      <c r="Y89" s="391"/>
      <c r="Z89" s="391"/>
      <c r="AL89" s="361"/>
      <c r="AV89" s="361"/>
      <c r="AY89" s="361"/>
    </row>
    <row r="90" spans="1:165" ht="16.5" thickBot="1">
      <c r="A90" s="614"/>
      <c r="B90" s="1463"/>
      <c r="C90" s="598" t="str">
        <f t="shared" si="17"/>
        <v>N/A</v>
      </c>
      <c r="D90" s="549" t="str">
        <f t="shared" si="18"/>
        <v>-</v>
      </c>
      <c r="E90" s="603">
        <v>1</v>
      </c>
      <c r="F90" s="603"/>
      <c r="G90" s="604">
        <v>0</v>
      </c>
      <c r="H90" s="860"/>
      <c r="I90" s="1015"/>
      <c r="J90" s="1015"/>
      <c r="K90" s="1015"/>
      <c r="L90" s="1015"/>
      <c r="M90" s="1015"/>
      <c r="N90" s="1015"/>
      <c r="O90" s="382"/>
      <c r="P90" s="391"/>
      <c r="Q90" s="391"/>
      <c r="R90" s="391"/>
      <c r="S90" s="391"/>
      <c r="T90" s="391"/>
      <c r="U90" s="391"/>
      <c r="V90" s="391"/>
      <c r="AH90" s="361"/>
      <c r="AR90" s="361"/>
      <c r="AU90" s="361"/>
    </row>
    <row r="91" spans="1:165" ht="16.5" thickBot="1">
      <c r="A91" s="614"/>
      <c r="B91" s="624"/>
      <c r="C91" s="613"/>
      <c r="D91" s="613"/>
      <c r="E91" s="614"/>
      <c r="F91" s="614"/>
      <c r="H91" s="382"/>
      <c r="I91" s="382"/>
      <c r="J91" s="389"/>
      <c r="K91" s="389"/>
      <c r="L91" s="378"/>
      <c r="M91" s="1016"/>
      <c r="N91" s="1016"/>
      <c r="O91" s="378"/>
      <c r="P91" s="391"/>
      <c r="Q91" s="391"/>
      <c r="R91" s="391"/>
      <c r="S91" s="391"/>
      <c r="T91" s="391"/>
      <c r="U91" s="391"/>
      <c r="V91" s="391"/>
      <c r="AH91" s="361"/>
      <c r="AR91" s="361"/>
      <c r="AU91" s="361"/>
    </row>
    <row r="92" spans="1:165" ht="31.5">
      <c r="A92" s="614"/>
      <c r="B92" s="1464" t="s">
        <v>828</v>
      </c>
      <c r="C92" s="366" t="str">
        <f t="shared" ref="C92:C99" si="19">C83</f>
        <v>Feed item</v>
      </c>
      <c r="D92" s="609"/>
      <c r="E92" s="514" t="s">
        <v>1724</v>
      </c>
      <c r="F92" s="515" t="s">
        <v>1638</v>
      </c>
      <c r="G92" s="1035"/>
      <c r="H92" s="1035"/>
      <c r="I92" s="1035"/>
      <c r="J92" s="1036"/>
      <c r="K92" s="1036"/>
      <c r="L92" s="1036"/>
      <c r="M92" s="1017"/>
      <c r="N92" s="1017"/>
      <c r="O92" s="391"/>
      <c r="P92" s="391"/>
      <c r="Q92" s="391"/>
      <c r="R92" s="391"/>
      <c r="S92" s="391"/>
      <c r="T92" s="391"/>
      <c r="U92" s="391"/>
      <c r="V92" s="391"/>
      <c r="AH92" s="361"/>
      <c r="AR92" s="361"/>
      <c r="AU92" s="361"/>
    </row>
    <row r="93" spans="1:165" s="386" customFormat="1" ht="15.75" customHeight="1">
      <c r="A93" s="614"/>
      <c r="B93" s="1465"/>
      <c r="C93" s="769" t="str">
        <f t="shared" si="19"/>
        <v>Concentrate (commercial)</v>
      </c>
      <c r="D93" s="992" t="str">
        <f t="shared" ref="D93:D99" si="20">D69</f>
        <v>Purchased</v>
      </c>
      <c r="E93" s="319">
        <v>0</v>
      </c>
      <c r="F93" s="1040">
        <v>0</v>
      </c>
      <c r="G93" s="1037"/>
      <c r="H93" s="1035"/>
      <c r="I93" s="1035"/>
      <c r="J93" s="1038"/>
      <c r="K93" s="1038"/>
      <c r="L93" s="1038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60"/>
      <c r="X93" s="360"/>
      <c r="Y93" s="360"/>
      <c r="Z93" s="360"/>
      <c r="AA93" s="360"/>
      <c r="AB93" s="360"/>
      <c r="AC93" s="360"/>
      <c r="AD93" s="360"/>
      <c r="AE93" s="360"/>
      <c r="AF93" s="360"/>
      <c r="AG93" s="360"/>
      <c r="AH93" s="361"/>
      <c r="AI93" s="360"/>
      <c r="AJ93" s="360"/>
      <c r="AK93" s="360"/>
      <c r="AL93" s="360"/>
      <c r="AM93" s="360"/>
      <c r="AN93" s="360"/>
      <c r="AO93" s="360"/>
      <c r="AP93" s="360"/>
      <c r="AQ93" s="360"/>
      <c r="AR93" s="361"/>
      <c r="AS93" s="360"/>
      <c r="AT93" s="360"/>
      <c r="AU93" s="361"/>
      <c r="AV93" s="360"/>
      <c r="AW93" s="360"/>
      <c r="AX93" s="360"/>
      <c r="AY93" s="360"/>
      <c r="AZ93" s="360"/>
      <c r="BA93" s="360"/>
      <c r="BB93" s="360"/>
      <c r="BC93" s="360"/>
      <c r="BD93" s="360"/>
      <c r="BE93" s="360"/>
      <c r="BF93" s="360"/>
      <c r="BG93" s="360"/>
      <c r="BH93" s="360"/>
      <c r="BI93" s="360"/>
      <c r="BJ93" s="360"/>
      <c r="BK93" s="360"/>
      <c r="BL93" s="360"/>
      <c r="BM93" s="360"/>
      <c r="BN93" s="360"/>
      <c r="BO93" s="360"/>
      <c r="BP93" s="360"/>
      <c r="BQ93" s="360"/>
      <c r="BR93" s="360"/>
      <c r="BS93" s="360"/>
      <c r="BT93" s="360"/>
      <c r="BU93" s="360"/>
      <c r="BV93" s="360"/>
      <c r="BW93" s="360"/>
      <c r="BX93" s="360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  <c r="CV93" s="360"/>
      <c r="CW93" s="360"/>
      <c r="CX93" s="360"/>
      <c r="CY93" s="360"/>
      <c r="CZ93" s="360"/>
      <c r="DA93" s="360"/>
      <c r="DB93" s="360"/>
      <c r="DC93" s="360"/>
      <c r="DD93" s="360"/>
      <c r="DE93" s="360"/>
      <c r="DF93" s="360"/>
      <c r="DG93" s="360"/>
      <c r="DH93" s="360"/>
      <c r="DI93" s="360"/>
      <c r="DJ93" s="360"/>
      <c r="DK93" s="360"/>
      <c r="DL93" s="360"/>
      <c r="DM93" s="360"/>
      <c r="DN93" s="360"/>
      <c r="DO93" s="360"/>
      <c r="DP93" s="360"/>
      <c r="DQ93" s="360"/>
      <c r="DR93" s="360"/>
      <c r="DS93" s="360"/>
      <c r="DT93" s="360"/>
      <c r="DU93" s="360"/>
      <c r="DV93" s="360"/>
      <c r="DW93" s="360"/>
      <c r="DX93" s="360"/>
      <c r="DY93" s="360"/>
      <c r="DZ93" s="360"/>
      <c r="EA93" s="360"/>
      <c r="EB93" s="360"/>
      <c r="EC93" s="360"/>
      <c r="ED93" s="360"/>
      <c r="EE93" s="360"/>
      <c r="EF93" s="360"/>
      <c r="EG93" s="360"/>
      <c r="EH93" s="360"/>
      <c r="EI93" s="360"/>
      <c r="EJ93" s="360"/>
      <c r="EK93" s="360"/>
      <c r="EL93" s="360"/>
      <c r="EM93" s="360"/>
      <c r="EN93" s="360"/>
      <c r="EO93" s="360"/>
      <c r="EP93" s="360"/>
      <c r="EQ93" s="360"/>
      <c r="ER93" s="360"/>
      <c r="ES93" s="360"/>
      <c r="ET93" s="360"/>
      <c r="EU93" s="360"/>
      <c r="EV93" s="360"/>
      <c r="EW93" s="360"/>
      <c r="EX93" s="360"/>
      <c r="EY93" s="360"/>
      <c r="EZ93" s="360"/>
      <c r="FA93" s="360"/>
      <c r="FB93" s="360"/>
      <c r="FC93" s="360"/>
      <c r="FD93" s="360"/>
      <c r="FE93" s="360"/>
    </row>
    <row r="94" spans="1:165" s="386" customFormat="1" ht="15.75" customHeight="1">
      <c r="A94" s="614"/>
      <c r="B94" s="1465"/>
      <c r="C94" s="769" t="str">
        <f t="shared" si="19"/>
        <v>Pennisetum purpureum - forage</v>
      </c>
      <c r="D94" s="992" t="str">
        <f t="shared" si="20"/>
        <v>Pennisetum purpureum</v>
      </c>
      <c r="E94" s="319">
        <v>15</v>
      </c>
      <c r="F94" s="1040">
        <v>0.2</v>
      </c>
      <c r="G94" s="1037"/>
      <c r="H94" s="1035"/>
      <c r="I94" s="1035"/>
      <c r="J94" s="1038"/>
      <c r="K94" s="1038"/>
      <c r="L94" s="1038"/>
      <c r="M94" s="391"/>
      <c r="N94" s="391"/>
      <c r="O94" s="391"/>
      <c r="P94" s="391"/>
      <c r="Q94" s="391"/>
      <c r="R94" s="391"/>
      <c r="S94" s="391"/>
      <c r="T94" s="391"/>
      <c r="U94" s="391"/>
      <c r="V94" s="391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1"/>
      <c r="AI94" s="360"/>
      <c r="AJ94" s="360"/>
      <c r="AK94" s="360"/>
      <c r="AL94" s="360"/>
      <c r="AM94" s="360"/>
      <c r="AN94" s="360"/>
      <c r="AO94" s="360"/>
      <c r="AP94" s="360"/>
      <c r="AQ94" s="360"/>
      <c r="AR94" s="361"/>
      <c r="AS94" s="360"/>
      <c r="AT94" s="360"/>
      <c r="AU94" s="361"/>
      <c r="AV94" s="360"/>
      <c r="AW94" s="360"/>
      <c r="AX94" s="360"/>
      <c r="AY94" s="360"/>
      <c r="AZ94" s="360"/>
      <c r="BA94" s="360"/>
      <c r="BB94" s="360"/>
      <c r="BC94" s="360"/>
      <c r="BD94" s="360"/>
      <c r="BE94" s="360"/>
      <c r="BF94" s="360"/>
      <c r="BG94" s="360"/>
      <c r="BH94" s="360"/>
      <c r="BI94" s="360"/>
      <c r="BJ94" s="360"/>
      <c r="BK94" s="360"/>
      <c r="BL94" s="360"/>
      <c r="BM94" s="360"/>
      <c r="BN94" s="360"/>
      <c r="BO94" s="360"/>
      <c r="BP94" s="360"/>
      <c r="BQ94" s="360"/>
      <c r="BR94" s="360"/>
      <c r="BS94" s="360"/>
      <c r="BT94" s="360"/>
      <c r="BU94" s="360"/>
      <c r="BV94" s="360"/>
      <c r="BW94" s="360"/>
      <c r="BX94" s="360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  <c r="CV94" s="360"/>
      <c r="CW94" s="360"/>
      <c r="CX94" s="360"/>
      <c r="CY94" s="360"/>
      <c r="CZ94" s="360"/>
      <c r="DA94" s="360"/>
      <c r="DB94" s="360"/>
      <c r="DC94" s="360"/>
      <c r="DD94" s="360"/>
      <c r="DE94" s="360"/>
      <c r="DF94" s="360"/>
      <c r="DG94" s="360"/>
      <c r="DH94" s="360"/>
      <c r="DI94" s="360"/>
      <c r="DJ94" s="360"/>
      <c r="DK94" s="360"/>
      <c r="DL94" s="360"/>
      <c r="DM94" s="360"/>
      <c r="DN94" s="360"/>
      <c r="DO94" s="360"/>
      <c r="DP94" s="360"/>
      <c r="DQ94" s="360"/>
      <c r="DR94" s="360"/>
      <c r="DS94" s="360"/>
      <c r="DT94" s="360"/>
      <c r="DU94" s="360"/>
      <c r="DV94" s="360"/>
      <c r="DW94" s="360"/>
      <c r="DX94" s="360"/>
      <c r="DY94" s="360"/>
      <c r="DZ94" s="360"/>
      <c r="EA94" s="360"/>
      <c r="EB94" s="360"/>
      <c r="EC94" s="360"/>
      <c r="ED94" s="360"/>
      <c r="EE94" s="360"/>
      <c r="EF94" s="360"/>
      <c r="EG94" s="360"/>
      <c r="EH94" s="360"/>
      <c r="EI94" s="360"/>
      <c r="EJ94" s="360"/>
      <c r="EK94" s="360"/>
      <c r="EL94" s="360"/>
      <c r="EM94" s="360"/>
      <c r="EN94" s="360"/>
      <c r="EO94" s="360"/>
      <c r="EP94" s="360"/>
      <c r="EQ94" s="360"/>
      <c r="ER94" s="360"/>
      <c r="ES94" s="360"/>
      <c r="ET94" s="360"/>
      <c r="EU94" s="360"/>
      <c r="EV94" s="360"/>
      <c r="EW94" s="360"/>
      <c r="EX94" s="360"/>
      <c r="EY94" s="360"/>
      <c r="EZ94" s="360"/>
      <c r="FA94" s="360"/>
      <c r="FB94" s="360"/>
      <c r="FC94" s="360"/>
      <c r="FD94" s="360"/>
      <c r="FE94" s="360"/>
    </row>
    <row r="95" spans="1:165" s="386" customFormat="1" ht="15.75" customHeight="1">
      <c r="A95" s="614"/>
      <c r="B95" s="1465"/>
      <c r="C95" s="769" t="str">
        <f t="shared" si="19"/>
        <v>Rhodes grass (Chloris gayana) - forage</v>
      </c>
      <c r="D95" s="992" t="str">
        <f t="shared" si="20"/>
        <v>Rhodes</v>
      </c>
      <c r="E95" s="319">
        <v>15</v>
      </c>
      <c r="F95" s="1040">
        <v>0.2</v>
      </c>
      <c r="G95" s="1037"/>
      <c r="H95" s="1035"/>
      <c r="I95" s="1035"/>
      <c r="J95" s="1038"/>
      <c r="K95" s="1038"/>
      <c r="L95" s="1038"/>
      <c r="M95" s="391"/>
      <c r="N95" s="391"/>
      <c r="O95" s="391"/>
      <c r="P95" s="391"/>
      <c r="Q95" s="391"/>
      <c r="R95" s="391"/>
      <c r="S95" s="391"/>
      <c r="T95" s="391"/>
      <c r="U95" s="391"/>
      <c r="V95" s="391"/>
      <c r="W95" s="360"/>
      <c r="X95" s="360"/>
      <c r="Y95" s="360"/>
      <c r="Z95" s="360"/>
      <c r="AA95" s="361"/>
      <c r="AB95" s="361"/>
      <c r="AC95" s="360"/>
      <c r="AD95" s="360"/>
      <c r="AE95" s="360"/>
      <c r="AF95" s="360"/>
      <c r="AG95" s="360"/>
      <c r="AH95" s="361"/>
      <c r="AI95" s="360"/>
      <c r="AJ95" s="360"/>
      <c r="AK95" s="360"/>
      <c r="AL95" s="360"/>
      <c r="AM95" s="360"/>
      <c r="AN95" s="360"/>
      <c r="AO95" s="360"/>
      <c r="AP95" s="360"/>
      <c r="AQ95" s="360"/>
      <c r="AR95" s="361"/>
      <c r="AS95" s="360"/>
      <c r="AT95" s="360"/>
      <c r="AU95" s="360"/>
      <c r="AV95" s="360"/>
      <c r="AW95" s="360"/>
      <c r="AX95" s="360"/>
      <c r="AY95" s="360"/>
      <c r="AZ95" s="360"/>
      <c r="BA95" s="360"/>
      <c r="BB95" s="360"/>
      <c r="BC95" s="360"/>
      <c r="BD95" s="360"/>
      <c r="BE95" s="360"/>
      <c r="BF95" s="360"/>
      <c r="BG95" s="360"/>
      <c r="BH95" s="360"/>
      <c r="BI95" s="360"/>
      <c r="BJ95" s="360"/>
      <c r="BK95" s="360"/>
      <c r="BL95" s="360"/>
      <c r="BM95" s="360"/>
      <c r="BN95" s="360"/>
      <c r="BO95" s="360"/>
      <c r="BP95" s="360"/>
      <c r="BQ95" s="360"/>
      <c r="BR95" s="360"/>
      <c r="BS95" s="360"/>
      <c r="BT95" s="360"/>
      <c r="BU95" s="360"/>
      <c r="BV95" s="360"/>
      <c r="BW95" s="360"/>
      <c r="BX95" s="360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  <c r="CV95" s="360"/>
      <c r="CW95" s="360"/>
      <c r="CX95" s="360"/>
      <c r="CY95" s="360"/>
      <c r="CZ95" s="360"/>
      <c r="DA95" s="360"/>
      <c r="DB95" s="360"/>
      <c r="DC95" s="360"/>
      <c r="DD95" s="360"/>
      <c r="DE95" s="360"/>
      <c r="DF95" s="360"/>
      <c r="DG95" s="360"/>
      <c r="DH95" s="360"/>
      <c r="DI95" s="360"/>
      <c r="DJ95" s="360"/>
      <c r="DK95" s="360"/>
      <c r="DL95" s="360"/>
      <c r="DM95" s="360"/>
      <c r="DN95" s="360"/>
      <c r="DO95" s="360"/>
      <c r="DP95" s="360"/>
      <c r="DQ95" s="360"/>
      <c r="DR95" s="360"/>
      <c r="DS95" s="360"/>
      <c r="DT95" s="360"/>
      <c r="DU95" s="360"/>
      <c r="DV95" s="360"/>
      <c r="DW95" s="360"/>
      <c r="DX95" s="360"/>
      <c r="DY95" s="360"/>
      <c r="DZ95" s="360"/>
      <c r="EA95" s="360"/>
      <c r="EB95" s="360"/>
      <c r="EC95" s="360"/>
      <c r="ED95" s="360"/>
      <c r="EE95" s="360"/>
      <c r="EF95" s="360"/>
      <c r="EG95" s="360"/>
      <c r="EH95" s="360"/>
      <c r="EI95" s="360"/>
      <c r="EJ95" s="360"/>
      <c r="EK95" s="360"/>
      <c r="EL95" s="360"/>
      <c r="EM95" s="360"/>
      <c r="EN95" s="360"/>
      <c r="EO95" s="360"/>
      <c r="EP95" s="360"/>
      <c r="EQ95" s="360"/>
      <c r="ER95" s="360"/>
      <c r="ES95" s="360"/>
      <c r="ET95" s="360"/>
      <c r="EU95" s="360"/>
      <c r="EV95" s="360"/>
      <c r="EW95" s="360"/>
      <c r="EX95" s="360"/>
      <c r="EY95" s="360"/>
      <c r="EZ95" s="360"/>
      <c r="FA95" s="360"/>
      <c r="FB95" s="360"/>
      <c r="FC95" s="360"/>
      <c r="FD95" s="360"/>
      <c r="FE95" s="360"/>
    </row>
    <row r="96" spans="1:165" s="386" customFormat="1" ht="15.75" customHeight="1">
      <c r="A96" s="614"/>
      <c r="B96" s="1465"/>
      <c r="C96" s="769" t="str">
        <f t="shared" si="19"/>
        <v>Guatemala (Tripsacum andersonii) - forage</v>
      </c>
      <c r="D96" s="992" t="str">
        <f t="shared" si="20"/>
        <v>Guatemala</v>
      </c>
      <c r="E96" s="319">
        <v>15</v>
      </c>
      <c r="F96" s="1040">
        <v>0.2</v>
      </c>
      <c r="G96" s="1037"/>
      <c r="H96" s="1035"/>
      <c r="I96" s="1035"/>
      <c r="J96" s="1038"/>
      <c r="K96" s="1038"/>
      <c r="L96" s="1038"/>
      <c r="M96" s="391"/>
      <c r="N96" s="391"/>
      <c r="O96" s="391"/>
      <c r="P96" s="391"/>
      <c r="Q96" s="391"/>
      <c r="R96" s="378"/>
      <c r="S96" s="391"/>
      <c r="T96" s="391"/>
      <c r="U96" s="391"/>
      <c r="V96" s="378"/>
      <c r="W96" s="360"/>
      <c r="X96" s="360"/>
      <c r="Y96" s="360"/>
      <c r="Z96" s="360"/>
      <c r="AA96" s="360"/>
      <c r="AB96" s="360"/>
      <c r="AC96" s="360"/>
      <c r="AD96" s="360"/>
      <c r="AE96" s="360"/>
      <c r="AF96" s="360"/>
      <c r="AG96" s="360"/>
      <c r="AH96" s="360"/>
      <c r="AI96" s="360"/>
      <c r="AJ96" s="360"/>
      <c r="AK96" s="360"/>
      <c r="AL96" s="360"/>
      <c r="AM96" s="360"/>
      <c r="AN96" s="360"/>
      <c r="AO96" s="360"/>
      <c r="AP96" s="360"/>
      <c r="AQ96" s="361"/>
      <c r="AR96" s="360"/>
      <c r="AS96" s="360"/>
      <c r="AT96" s="361"/>
      <c r="AU96" s="360"/>
      <c r="AV96" s="360"/>
      <c r="AW96" s="360"/>
      <c r="AX96" s="360"/>
      <c r="AY96" s="360"/>
      <c r="AZ96" s="360"/>
      <c r="BA96" s="360"/>
      <c r="BB96" s="360"/>
      <c r="BC96" s="360"/>
      <c r="BD96" s="360"/>
      <c r="BE96" s="360"/>
      <c r="BF96" s="360"/>
      <c r="BG96" s="360"/>
      <c r="BH96" s="360"/>
      <c r="BI96" s="360"/>
      <c r="BJ96" s="360"/>
      <c r="BK96" s="360"/>
      <c r="BL96" s="360"/>
      <c r="BM96" s="360"/>
      <c r="BN96" s="360"/>
      <c r="BO96" s="360"/>
      <c r="BP96" s="360"/>
      <c r="BQ96" s="360"/>
      <c r="BR96" s="360"/>
      <c r="BS96" s="360"/>
      <c r="BT96" s="360"/>
      <c r="BU96" s="360"/>
      <c r="BV96" s="360"/>
      <c r="BW96" s="360"/>
      <c r="BX96" s="360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  <c r="CV96" s="360"/>
      <c r="CW96" s="360"/>
      <c r="CX96" s="360"/>
      <c r="CY96" s="360"/>
      <c r="CZ96" s="360"/>
      <c r="DA96" s="360"/>
      <c r="DB96" s="360"/>
      <c r="DC96" s="360"/>
      <c r="DD96" s="360"/>
      <c r="DE96" s="360"/>
      <c r="DF96" s="360"/>
      <c r="DG96" s="360"/>
      <c r="DH96" s="360"/>
      <c r="DI96" s="360"/>
      <c r="DJ96" s="360"/>
      <c r="DK96" s="360"/>
      <c r="DL96" s="360"/>
      <c r="DM96" s="360"/>
      <c r="DN96" s="360"/>
      <c r="DO96" s="360"/>
      <c r="DP96" s="360"/>
      <c r="DQ96" s="360"/>
      <c r="DR96" s="360"/>
      <c r="DS96" s="360"/>
      <c r="DT96" s="360"/>
      <c r="DU96" s="360"/>
      <c r="DV96" s="360"/>
      <c r="DW96" s="360"/>
      <c r="DX96" s="360"/>
      <c r="DY96" s="360"/>
      <c r="DZ96" s="360"/>
      <c r="EA96" s="360"/>
      <c r="EB96" s="360"/>
      <c r="EC96" s="360"/>
      <c r="ED96" s="360"/>
      <c r="EE96" s="360"/>
      <c r="EF96" s="360"/>
      <c r="EG96" s="360"/>
      <c r="EH96" s="360"/>
      <c r="EI96" s="360"/>
      <c r="EJ96" s="360"/>
      <c r="EK96" s="360"/>
      <c r="EL96" s="360"/>
      <c r="EM96" s="360"/>
      <c r="EN96" s="360"/>
      <c r="EO96" s="360"/>
      <c r="EP96" s="360"/>
      <c r="EQ96" s="360"/>
      <c r="ER96" s="360"/>
      <c r="ES96" s="360"/>
      <c r="ET96" s="360"/>
      <c r="EU96" s="360"/>
      <c r="EV96" s="360"/>
      <c r="EW96" s="360"/>
      <c r="EX96" s="360"/>
      <c r="EY96" s="360"/>
      <c r="EZ96" s="360"/>
      <c r="FA96" s="360"/>
      <c r="FB96" s="360"/>
      <c r="FC96" s="360"/>
      <c r="FD96" s="360"/>
      <c r="FE96" s="360"/>
    </row>
    <row r="97" spans="1:161" s="386" customFormat="1" ht="15.75" customHeight="1">
      <c r="A97" s="614"/>
      <c r="B97" s="1465"/>
      <c r="C97" s="769" t="str">
        <f t="shared" si="19"/>
        <v>Maize (Zea mays) - stover</v>
      </c>
      <c r="D97" s="992" t="str">
        <f t="shared" si="20"/>
        <v>Maize</v>
      </c>
      <c r="E97" s="319">
        <v>15</v>
      </c>
      <c r="F97" s="1040">
        <v>0.3</v>
      </c>
      <c r="G97" s="1037"/>
      <c r="H97" s="1035"/>
      <c r="I97" s="1035"/>
      <c r="J97" s="1038"/>
      <c r="K97" s="1038"/>
      <c r="L97" s="1038"/>
      <c r="M97" s="391"/>
      <c r="N97" s="391"/>
      <c r="O97" s="391"/>
      <c r="P97" s="391"/>
      <c r="Q97" s="391"/>
      <c r="R97" s="360"/>
      <c r="S97" s="378"/>
      <c r="T97" s="391"/>
      <c r="U97" s="391"/>
      <c r="V97" s="360"/>
      <c r="W97" s="360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  <c r="AL97" s="360"/>
      <c r="AM97" s="360"/>
      <c r="AN97" s="360"/>
      <c r="AO97" s="360"/>
      <c r="AP97" s="360"/>
      <c r="AQ97" s="361"/>
      <c r="AR97" s="360"/>
      <c r="AS97" s="360"/>
      <c r="AT97" s="361"/>
      <c r="AU97" s="360"/>
      <c r="AV97" s="360"/>
      <c r="AW97" s="360"/>
      <c r="AX97" s="360"/>
      <c r="AY97" s="360"/>
      <c r="AZ97" s="360"/>
      <c r="BA97" s="360"/>
      <c r="BB97" s="360"/>
      <c r="BC97" s="360"/>
      <c r="BD97" s="360"/>
      <c r="BE97" s="360"/>
      <c r="BF97" s="360"/>
      <c r="BG97" s="360"/>
      <c r="BH97" s="360"/>
      <c r="BI97" s="360"/>
      <c r="BJ97" s="360"/>
      <c r="BK97" s="360"/>
      <c r="BL97" s="360"/>
      <c r="BM97" s="360"/>
      <c r="BN97" s="360"/>
      <c r="BO97" s="360"/>
      <c r="BP97" s="360"/>
      <c r="BQ97" s="360"/>
      <c r="BR97" s="360"/>
      <c r="BS97" s="360"/>
      <c r="BT97" s="360"/>
      <c r="BU97" s="360"/>
      <c r="BV97" s="360"/>
      <c r="BW97" s="360"/>
      <c r="BX97" s="360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  <c r="CV97" s="360"/>
      <c r="CW97" s="360"/>
      <c r="CX97" s="360"/>
      <c r="CY97" s="360"/>
      <c r="CZ97" s="360"/>
      <c r="DA97" s="360"/>
      <c r="DB97" s="360"/>
      <c r="DC97" s="360"/>
      <c r="DD97" s="360"/>
      <c r="DE97" s="360"/>
      <c r="DF97" s="360"/>
      <c r="DG97" s="360"/>
      <c r="DH97" s="360"/>
      <c r="DI97" s="360"/>
      <c r="DJ97" s="360"/>
      <c r="DK97" s="360"/>
      <c r="DL97" s="360"/>
      <c r="DM97" s="360"/>
      <c r="DN97" s="360"/>
      <c r="DO97" s="360"/>
      <c r="DP97" s="360"/>
      <c r="DQ97" s="360"/>
      <c r="DR97" s="360"/>
      <c r="DS97" s="360"/>
      <c r="DT97" s="360"/>
      <c r="DU97" s="360"/>
      <c r="DV97" s="360"/>
      <c r="DW97" s="360"/>
      <c r="DX97" s="360"/>
      <c r="DY97" s="360"/>
      <c r="DZ97" s="360"/>
      <c r="EA97" s="360"/>
      <c r="EB97" s="360"/>
      <c r="EC97" s="360"/>
      <c r="ED97" s="360"/>
      <c r="EE97" s="360"/>
      <c r="EF97" s="360"/>
      <c r="EG97" s="360"/>
      <c r="EH97" s="360"/>
      <c r="EI97" s="360"/>
      <c r="EJ97" s="360"/>
      <c r="EK97" s="360"/>
      <c r="EL97" s="360"/>
      <c r="EM97" s="360"/>
      <c r="EN97" s="360"/>
      <c r="EO97" s="360"/>
      <c r="EP97" s="360"/>
      <c r="EQ97" s="360"/>
      <c r="ER97" s="360"/>
      <c r="ES97" s="360"/>
      <c r="ET97" s="360"/>
      <c r="EU97" s="360"/>
      <c r="EV97" s="360"/>
      <c r="EW97" s="360"/>
      <c r="EX97" s="360"/>
      <c r="EY97" s="360"/>
      <c r="EZ97" s="360"/>
      <c r="FA97" s="360"/>
      <c r="FB97" s="360"/>
      <c r="FC97" s="360"/>
      <c r="FD97" s="360"/>
      <c r="FE97" s="360"/>
    </row>
    <row r="98" spans="1:161" s="386" customFormat="1" ht="16.5" customHeight="1">
      <c r="A98" s="614"/>
      <c r="B98" s="1465"/>
      <c r="C98" s="769" t="str">
        <f t="shared" si="19"/>
        <v xml:space="preserve">Naturally occuring pasture - green fodder </v>
      </c>
      <c r="D98" s="992" t="str">
        <f t="shared" si="20"/>
        <v>Natural pasture</v>
      </c>
      <c r="E98" s="319">
        <v>15</v>
      </c>
      <c r="F98" s="1040">
        <v>0</v>
      </c>
      <c r="G98" s="1037"/>
      <c r="H98" s="1035"/>
      <c r="I98" s="1035"/>
      <c r="J98" s="1038"/>
      <c r="K98" s="1038"/>
      <c r="L98" s="1038"/>
      <c r="M98" s="391"/>
      <c r="N98" s="391"/>
      <c r="O98" s="391"/>
      <c r="P98" s="391"/>
      <c r="Q98" s="378"/>
      <c r="R98" s="360"/>
      <c r="S98" s="360"/>
      <c r="T98" s="378"/>
      <c r="U98" s="391"/>
      <c r="V98" s="360"/>
      <c r="W98" s="360"/>
      <c r="X98" s="360"/>
      <c r="Y98" s="360"/>
      <c r="Z98" s="361"/>
      <c r="AA98" s="360"/>
      <c r="AB98" s="360"/>
      <c r="AC98" s="360"/>
      <c r="AD98" s="360"/>
      <c r="AE98" s="360"/>
      <c r="AF98" s="360"/>
      <c r="AG98" s="360"/>
      <c r="AH98" s="360"/>
      <c r="AI98" s="360"/>
      <c r="AJ98" s="360"/>
      <c r="AK98" s="360"/>
      <c r="AL98" s="360"/>
      <c r="AM98" s="360"/>
      <c r="AN98" s="361"/>
      <c r="AO98" s="361"/>
      <c r="AP98" s="360"/>
      <c r="AQ98" s="361"/>
      <c r="AR98" s="360"/>
      <c r="AS98" s="360"/>
      <c r="AT98" s="361"/>
      <c r="AU98" s="360"/>
      <c r="AV98" s="360"/>
      <c r="AW98" s="360"/>
      <c r="AX98" s="360"/>
      <c r="AY98" s="360"/>
      <c r="AZ98" s="360"/>
      <c r="BA98" s="360"/>
      <c r="BB98" s="360"/>
      <c r="BC98" s="360"/>
      <c r="BD98" s="360"/>
      <c r="BE98" s="360"/>
      <c r="BF98" s="360"/>
      <c r="BG98" s="360"/>
      <c r="BH98" s="360"/>
      <c r="BI98" s="360"/>
      <c r="BJ98" s="360"/>
      <c r="BK98" s="360"/>
      <c r="BL98" s="360"/>
      <c r="BM98" s="360"/>
      <c r="BN98" s="360"/>
      <c r="BO98" s="360"/>
      <c r="BP98" s="360"/>
      <c r="BQ98" s="360"/>
      <c r="BR98" s="360"/>
      <c r="BS98" s="360"/>
      <c r="BT98" s="360"/>
      <c r="BU98" s="360"/>
      <c r="BV98" s="360"/>
      <c r="BW98" s="360"/>
      <c r="BX98" s="360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  <c r="CV98" s="360"/>
      <c r="CW98" s="360"/>
      <c r="CX98" s="360"/>
      <c r="CY98" s="360"/>
      <c r="CZ98" s="360"/>
      <c r="DA98" s="360"/>
      <c r="DB98" s="360"/>
      <c r="DC98" s="360"/>
      <c r="DD98" s="360"/>
      <c r="DE98" s="360"/>
      <c r="DF98" s="360"/>
      <c r="DG98" s="360"/>
      <c r="DH98" s="360"/>
      <c r="DI98" s="360"/>
      <c r="DJ98" s="360"/>
      <c r="DK98" s="360"/>
      <c r="DL98" s="360"/>
      <c r="DM98" s="360"/>
      <c r="DN98" s="360"/>
      <c r="DO98" s="360"/>
      <c r="DP98" s="360"/>
      <c r="DQ98" s="360"/>
      <c r="DR98" s="360"/>
      <c r="DS98" s="360"/>
      <c r="DT98" s="360"/>
      <c r="DU98" s="360"/>
      <c r="DV98" s="360"/>
      <c r="DW98" s="360"/>
      <c r="DX98" s="360"/>
      <c r="DY98" s="360"/>
      <c r="DZ98" s="360"/>
      <c r="EA98" s="360"/>
      <c r="EB98" s="360"/>
      <c r="EC98" s="360"/>
      <c r="ED98" s="360"/>
      <c r="EE98" s="360"/>
      <c r="EF98" s="360"/>
      <c r="EG98" s="360"/>
      <c r="EH98" s="360"/>
      <c r="EI98" s="360"/>
      <c r="EJ98" s="360"/>
      <c r="EK98" s="360"/>
      <c r="EL98" s="360"/>
      <c r="EM98" s="360"/>
      <c r="EN98" s="360"/>
      <c r="EO98" s="360"/>
      <c r="EP98" s="360"/>
      <c r="EQ98" s="360"/>
      <c r="ER98" s="360"/>
      <c r="ES98" s="360"/>
      <c r="ET98" s="360"/>
      <c r="EU98" s="360"/>
      <c r="EV98" s="360"/>
      <c r="EW98" s="360"/>
      <c r="EX98" s="360"/>
      <c r="EY98" s="360"/>
      <c r="EZ98" s="360"/>
      <c r="FA98" s="360"/>
      <c r="FB98" s="360"/>
      <c r="FC98" s="360"/>
      <c r="FD98" s="360"/>
      <c r="FE98" s="360"/>
    </row>
    <row r="99" spans="1:161" ht="16.5" thickBot="1">
      <c r="A99" s="614"/>
      <c r="B99" s="1465"/>
      <c r="C99" s="598" t="str">
        <f t="shared" si="19"/>
        <v>N/A</v>
      </c>
      <c r="D99" s="549" t="str">
        <f t="shared" si="20"/>
        <v>N/A</v>
      </c>
      <c r="E99" s="766">
        <v>0</v>
      </c>
      <c r="F99" s="1041">
        <v>0</v>
      </c>
      <c r="G99" s="1037"/>
      <c r="H99" s="1035"/>
      <c r="I99" s="1035"/>
      <c r="J99" s="1038"/>
      <c r="K99" s="1038"/>
      <c r="L99" s="1038"/>
      <c r="M99" s="391"/>
      <c r="N99" s="391"/>
      <c r="O99" s="391"/>
      <c r="P99" s="391"/>
      <c r="U99" s="378"/>
      <c r="AN99" s="361"/>
      <c r="AO99" s="361"/>
      <c r="AQ99" s="361"/>
      <c r="AT99" s="361"/>
    </row>
    <row r="100" spans="1:161" ht="16.5" thickBot="1">
      <c r="A100" s="614"/>
      <c r="B100" s="392"/>
      <c r="C100" s="360"/>
      <c r="E100" s="860"/>
      <c r="F100" s="860"/>
      <c r="G100" s="1035"/>
      <c r="H100" s="1039"/>
      <c r="I100" s="1039"/>
      <c r="J100" s="1038"/>
      <c r="K100" s="1038"/>
      <c r="L100" s="1038"/>
      <c r="M100" s="378"/>
      <c r="N100" s="378"/>
      <c r="O100" s="378"/>
      <c r="AG100" s="361"/>
      <c r="AM100" s="361"/>
      <c r="AP100" s="361"/>
    </row>
    <row r="101" spans="1:161">
      <c r="A101" s="614"/>
      <c r="B101" s="392"/>
      <c r="C101" s="366" t="s">
        <v>1037</v>
      </c>
      <c r="D101" s="364" t="s">
        <v>1565</v>
      </c>
      <c r="E101" s="367" t="s">
        <v>1142</v>
      </c>
      <c r="J101" s="389"/>
      <c r="K101" s="389"/>
      <c r="W101" s="361"/>
      <c r="AG101" s="361"/>
      <c r="AM101" s="361"/>
      <c r="AP101" s="361"/>
    </row>
    <row r="102" spans="1:161">
      <c r="A102" s="614"/>
      <c r="B102" s="392"/>
      <c r="C102" s="771" t="s">
        <v>1032</v>
      </c>
      <c r="D102" s="1443">
        <v>5</v>
      </c>
      <c r="E102" s="317">
        <v>1</v>
      </c>
      <c r="AF102" s="361"/>
      <c r="AM102" s="361"/>
      <c r="AP102" s="361"/>
    </row>
    <row r="103" spans="1:161">
      <c r="A103" s="614"/>
      <c r="B103" s="392"/>
      <c r="C103" s="771" t="s">
        <v>1033</v>
      </c>
      <c r="D103" s="1443">
        <f>SUM(E$93:E$99)*E103</f>
        <v>0</v>
      </c>
      <c r="E103" s="317"/>
      <c r="AJ103" s="361"/>
      <c r="AQ103" s="361"/>
      <c r="AT103" s="361"/>
    </row>
    <row r="104" spans="1:161">
      <c r="A104" s="614"/>
      <c r="B104" s="392"/>
      <c r="C104" s="771" t="s">
        <v>1034</v>
      </c>
      <c r="D104" s="1443">
        <v>0</v>
      </c>
      <c r="E104" s="317"/>
      <c r="V104" s="361"/>
      <c r="Z104" s="361"/>
      <c r="AJ104" s="361"/>
      <c r="AQ104" s="361"/>
    </row>
    <row r="105" spans="1:161">
      <c r="A105" s="614"/>
      <c r="B105" s="392"/>
      <c r="C105" s="771" t="s">
        <v>1035</v>
      </c>
      <c r="D105" s="1443">
        <v>0</v>
      </c>
      <c r="E105" s="317">
        <v>0</v>
      </c>
      <c r="W105" s="361"/>
      <c r="AJ105" s="361"/>
      <c r="AQ105" s="361"/>
    </row>
    <row r="106" spans="1:161" ht="16.5" thickBot="1">
      <c r="A106" s="614"/>
      <c r="B106" s="513"/>
      <c r="C106" s="772" t="s">
        <v>1036</v>
      </c>
      <c r="D106" s="1444">
        <f>SUM(E$93:E$99)*E106</f>
        <v>0</v>
      </c>
      <c r="E106" s="770"/>
      <c r="U106" s="361"/>
      <c r="X106" s="361"/>
      <c r="AG106" s="361"/>
      <c r="AJ106" s="361"/>
    </row>
    <row r="107" spans="1:161" ht="16.5" thickBot="1">
      <c r="A107" s="614"/>
      <c r="B107" s="369"/>
      <c r="C107" s="360"/>
      <c r="E107" s="522">
        <f>1-SUM(E102:E106)</f>
        <v>0</v>
      </c>
      <c r="Y107" s="361"/>
      <c r="AJ107" s="361"/>
    </row>
    <row r="108" spans="1:161">
      <c r="A108" s="614"/>
      <c r="B108" s="1459" t="s">
        <v>645</v>
      </c>
      <c r="C108" s="366"/>
      <c r="D108" s="507"/>
      <c r="E108" s="509" t="s">
        <v>1140</v>
      </c>
      <c r="F108" s="378" t="s">
        <v>648</v>
      </c>
      <c r="G108" s="378" t="s">
        <v>649</v>
      </c>
      <c r="H108" s="378" t="s">
        <v>669</v>
      </c>
      <c r="I108" s="378" t="s">
        <v>670</v>
      </c>
      <c r="T108" s="361"/>
      <c r="AJ108" s="361"/>
    </row>
    <row r="109" spans="1:161">
      <c r="A109" s="614"/>
      <c r="B109" s="1460"/>
      <c r="C109" s="739" t="s">
        <v>665</v>
      </c>
      <c r="D109" s="83" t="s">
        <v>126</v>
      </c>
      <c r="E109" s="510">
        <f>0 + IF(D69 = "Rice",F69,0) + IF(D70 = "Rice",F70,0)+ IF(D71 = "Rice",F71,0)+ IF(D72 = "Rice",F72,0)+ IF(D73 = "Rice",F73,0)+ IF(D74 = "Rice",F74,0)+ IF(D75= "Rice",F75,0)</f>
        <v>0</v>
      </c>
      <c r="F109" s="378"/>
      <c r="G109" s="378"/>
      <c r="H109" s="378"/>
      <c r="I109" s="378"/>
    </row>
    <row r="110" spans="1:161" ht="13.5" customHeight="1">
      <c r="A110" s="614"/>
      <c r="B110" s="1460"/>
      <c r="C110" s="739" t="s">
        <v>1066</v>
      </c>
      <c r="D110" s="83" t="s">
        <v>381</v>
      </c>
      <c r="E110" s="511"/>
      <c r="F110" s="378">
        <v>0</v>
      </c>
      <c r="G110" s="378">
        <v>0</v>
      </c>
      <c r="H110" s="378">
        <v>0</v>
      </c>
      <c r="I110" s="378">
        <v>0</v>
      </c>
    </row>
    <row r="111" spans="1:161">
      <c r="A111" s="614"/>
      <c r="B111" s="1460"/>
      <c r="C111" s="739" t="s">
        <v>666</v>
      </c>
      <c r="D111" s="83" t="s">
        <v>598</v>
      </c>
      <c r="E111" s="511" t="s">
        <v>790</v>
      </c>
      <c r="F111" s="378" t="s">
        <v>790</v>
      </c>
      <c r="G111" s="378" t="s">
        <v>790</v>
      </c>
      <c r="H111" s="378" t="s">
        <v>790</v>
      </c>
      <c r="I111" s="378" t="s">
        <v>790</v>
      </c>
    </row>
    <row r="112" spans="1:161" ht="47.25">
      <c r="A112" s="614"/>
      <c r="B112" s="1460"/>
      <c r="C112" s="739" t="s">
        <v>1065</v>
      </c>
      <c r="D112" s="83" t="s">
        <v>668</v>
      </c>
      <c r="E112" s="511" t="s">
        <v>190</v>
      </c>
      <c r="F112" s="378"/>
      <c r="G112" s="378"/>
      <c r="H112" s="378"/>
      <c r="I112" s="378"/>
    </row>
    <row r="113" spans="1:57">
      <c r="A113" s="614"/>
      <c r="B113" s="1460"/>
      <c r="C113" s="773" t="s">
        <v>745</v>
      </c>
      <c r="D113" s="83" t="s">
        <v>598</v>
      </c>
      <c r="E113" s="511" t="s">
        <v>199</v>
      </c>
      <c r="F113" s="378"/>
      <c r="G113" s="378"/>
      <c r="H113" s="378"/>
      <c r="I113" s="378"/>
    </row>
    <row r="114" spans="1:57" ht="16.5" thickBot="1">
      <c r="A114" s="614"/>
      <c r="B114" s="1461"/>
      <c r="C114" s="774" t="s">
        <v>746</v>
      </c>
      <c r="D114" s="508" t="s">
        <v>1056</v>
      </c>
      <c r="E114" s="512">
        <f>IF(SUM(F114:L114)=0, 0, AVERAGEIF(F114:L114, "&lt;&gt;0"))</f>
        <v>0</v>
      </c>
      <c r="F114" s="401">
        <f>IF(D93="Rice", E93, 0)</f>
        <v>0</v>
      </c>
      <c r="G114" s="401">
        <f>IF(D94="Rice", E94, 0)</f>
        <v>0</v>
      </c>
      <c r="H114" s="401">
        <f>IF(D95="Rice", E95, 0)</f>
        <v>0</v>
      </c>
      <c r="I114" s="401">
        <f>IF(D96="Rice", E96, 0)</f>
        <v>0</v>
      </c>
      <c r="J114" s="401">
        <f>IF(D97="Rice", E97, 0)</f>
        <v>0</v>
      </c>
      <c r="K114" s="401">
        <f>IF(D98="Rice", E98, 0)</f>
        <v>0</v>
      </c>
      <c r="L114" s="401">
        <f>IF(D99="Rice", E99, 0)</f>
        <v>0</v>
      </c>
      <c r="BD114" s="361"/>
    </row>
    <row r="115" spans="1:57">
      <c r="A115" s="614"/>
      <c r="C115" s="394"/>
      <c r="D115" s="361"/>
      <c r="E115" s="405"/>
      <c r="F115" s="401"/>
      <c r="G115" s="401"/>
      <c r="H115" s="401"/>
      <c r="I115" s="401"/>
      <c r="J115" s="401"/>
      <c r="K115" s="401"/>
      <c r="L115" s="401"/>
      <c r="BD115" s="361"/>
    </row>
    <row r="116" spans="1:57">
      <c r="A116" s="614"/>
      <c r="C116" s="394"/>
      <c r="D116" s="361"/>
      <c r="E116" s="405"/>
      <c r="F116" s="401"/>
      <c r="G116" s="401"/>
      <c r="H116" s="401"/>
      <c r="I116" s="401"/>
      <c r="J116" s="401"/>
      <c r="K116" s="401"/>
      <c r="L116" s="401"/>
      <c r="BD116" s="361"/>
    </row>
    <row r="117" spans="1:57">
      <c r="A117" s="371"/>
      <c r="C117" s="394"/>
      <c r="D117" s="361"/>
      <c r="E117" s="405"/>
      <c r="F117" s="401"/>
      <c r="G117" s="401"/>
      <c r="H117" s="401"/>
      <c r="I117" s="401"/>
      <c r="J117" s="401"/>
      <c r="K117" s="401"/>
      <c r="L117" s="401"/>
      <c r="BD117" s="361"/>
    </row>
    <row r="118" spans="1:57" ht="31.5">
      <c r="B118" s="362" t="s">
        <v>1198</v>
      </c>
      <c r="C118" s="359"/>
      <c r="D118" s="359"/>
      <c r="E118" s="363"/>
      <c r="F118" s="359"/>
      <c r="G118" s="359"/>
      <c r="H118" s="359"/>
      <c r="I118" s="359"/>
      <c r="J118" s="359"/>
      <c r="K118" s="359"/>
      <c r="L118" s="359"/>
      <c r="M118" s="359"/>
      <c r="N118" s="359"/>
      <c r="O118" s="359"/>
      <c r="P118" s="359"/>
      <c r="Q118" s="359"/>
      <c r="R118" s="359"/>
      <c r="S118" s="359"/>
      <c r="T118" s="359"/>
      <c r="U118" s="359"/>
      <c r="V118" s="359"/>
      <c r="W118" s="359"/>
      <c r="X118" s="359"/>
      <c r="Y118" s="359"/>
      <c r="Z118" s="359"/>
      <c r="AA118" s="359"/>
      <c r="AB118" s="359"/>
      <c r="AC118" s="359"/>
      <c r="AD118" s="359"/>
      <c r="AE118" s="359"/>
      <c r="AF118" s="359"/>
      <c r="BD118" s="361"/>
      <c r="BE118" s="361"/>
    </row>
    <row r="119" spans="1:57" ht="16.5" thickBot="1">
      <c r="A119" s="371"/>
      <c r="C119" s="394"/>
      <c r="D119" s="361"/>
      <c r="E119" s="393"/>
      <c r="F119" s="393"/>
      <c r="G119" s="389"/>
      <c r="H119" s="389"/>
      <c r="I119" s="389"/>
      <c r="BD119" s="361"/>
      <c r="BE119" s="361"/>
    </row>
    <row r="120" spans="1:57" ht="16.5" thickBot="1">
      <c r="B120" s="841" t="s">
        <v>1481</v>
      </c>
      <c r="C120" s="311"/>
      <c r="D120" s="311"/>
      <c r="E120" s="311"/>
      <c r="F120" s="312"/>
      <c r="J120" s="592"/>
      <c r="K120" s="592"/>
      <c r="L120" s="592"/>
      <c r="BD120" s="361"/>
      <c r="BE120" s="361"/>
    </row>
    <row r="121" spans="1:57" ht="31.5">
      <c r="B121" s="1108"/>
      <c r="C121" s="1109" t="s">
        <v>1180</v>
      </c>
      <c r="D121" s="1110" t="s">
        <v>1484</v>
      </c>
      <c r="E121" s="1111" t="s">
        <v>1196</v>
      </c>
      <c r="F121" s="1111" t="s">
        <v>1183</v>
      </c>
      <c r="I121" s="576"/>
      <c r="J121" s="594"/>
      <c r="K121" s="595"/>
      <c r="L121" s="595"/>
      <c r="M121" s="596"/>
      <c r="BE121" s="361"/>
    </row>
    <row r="122" spans="1:57">
      <c r="B122" s="1112" t="str">
        <f t="shared" ref="B122:B130" si="21">C17</f>
        <v>Cows (improved)</v>
      </c>
      <c r="C122" s="1109" t="e">
        <f t="shared" ref="C122:C130" ca="1" si="22">IF(INDIRECT(CONCATENATE("[", "Baseline.xlsm","]INPUTS","!D18"))&lt;=D17,INDIRECT(CONCATENATE("[", "Baseline.xlsm","]INPUTS","!D18")),D17)</f>
        <v>#REF!</v>
      </c>
      <c r="D122" s="1113">
        <f>VLOOKUP(B122,'Livestock parameters'!$A$20:AJ$34,34,FALSE)</f>
        <v>20</v>
      </c>
      <c r="E122" s="1114">
        <f>VLOOKUP(B122,'Livestock parameters'!$A$20:AK$34,36,FALSE)</f>
        <v>8</v>
      </c>
      <c r="F122" s="575"/>
      <c r="J122" s="594"/>
      <c r="K122" s="646"/>
      <c r="L122" s="595"/>
      <c r="M122" s="596"/>
      <c r="BE122" s="361"/>
    </row>
    <row r="123" spans="1:57">
      <c r="B123" s="1112" t="str">
        <f t="shared" si="21"/>
        <v>Steers/heifers</v>
      </c>
      <c r="C123" s="1109" t="e">
        <f t="shared" ca="1" si="22"/>
        <v>#REF!</v>
      </c>
      <c r="D123" s="1113">
        <f>VLOOKUP(B123,'Livestock parameters'!$A$20:AJ$34,34,FALSE)</f>
        <v>5</v>
      </c>
      <c r="E123" s="1114">
        <f>VLOOKUP(B123,'Livestock parameters'!$A$20:AK$34,36,FALSE)</f>
        <v>2</v>
      </c>
      <c r="F123" s="575"/>
      <c r="J123" s="594"/>
      <c r="K123" s="595"/>
      <c r="L123" s="595"/>
      <c r="M123" s="596"/>
      <c r="BE123" s="361"/>
    </row>
    <row r="124" spans="1:57">
      <c r="B124" s="1112">
        <f t="shared" si="21"/>
        <v>0</v>
      </c>
      <c r="C124" s="1109" t="e">
        <f t="shared" ca="1" si="22"/>
        <v>#REF!</v>
      </c>
      <c r="D124" s="1113" t="e">
        <f>VLOOKUP(B124,'Livestock parameters'!$A$20:AJ$34,34,FALSE)</f>
        <v>#N/A</v>
      </c>
      <c r="E124" s="1114" t="e">
        <f>VLOOKUP(B124,'Livestock parameters'!$A$20:AK$34,36,FALSE)</f>
        <v>#N/A</v>
      </c>
      <c r="F124" s="575"/>
      <c r="J124" s="594"/>
      <c r="K124" s="595"/>
      <c r="L124" s="595"/>
      <c r="M124" s="596"/>
      <c r="BE124" s="361"/>
    </row>
    <row r="125" spans="1:57">
      <c r="B125" s="1112">
        <f t="shared" si="21"/>
        <v>0</v>
      </c>
      <c r="C125" s="1109" t="e">
        <f t="shared" ca="1" si="22"/>
        <v>#REF!</v>
      </c>
      <c r="D125" s="1113" t="e">
        <f>VLOOKUP(B125,'Livestock parameters'!$A$20:AJ$34,34,FALSE)</f>
        <v>#N/A</v>
      </c>
      <c r="E125" s="1114" t="e">
        <f>VLOOKUP(B125,'Livestock parameters'!$A$20:AK$34,36,FALSE)</f>
        <v>#N/A</v>
      </c>
      <c r="F125" s="575"/>
      <c r="J125" s="593"/>
      <c r="K125" s="593"/>
      <c r="L125" s="593"/>
      <c r="M125" s="369"/>
    </row>
    <row r="126" spans="1:57">
      <c r="B126" s="1112">
        <f t="shared" si="21"/>
        <v>0</v>
      </c>
      <c r="C126" s="1109" t="e">
        <f t="shared" ca="1" si="22"/>
        <v>#REF!</v>
      </c>
      <c r="D126" s="1113" t="e">
        <f>VLOOKUP(B126,'Livestock parameters'!$A$20:AJ$34,34,FALSE)</f>
        <v>#N/A</v>
      </c>
      <c r="E126" s="1114" t="e">
        <f>VLOOKUP(B126,'Livestock parameters'!$A$20:AK$34,36,FALSE)</f>
        <v>#N/A</v>
      </c>
      <c r="F126" s="575"/>
      <c r="J126" s="760"/>
    </row>
    <row r="127" spans="1:57">
      <c r="B127" s="1112">
        <f t="shared" si="21"/>
        <v>0</v>
      </c>
      <c r="C127" s="1109" t="e">
        <f t="shared" ca="1" si="22"/>
        <v>#REF!</v>
      </c>
      <c r="D127" s="1113" t="e">
        <f>VLOOKUP(B127,'Livestock parameters'!$A$20:AJ$34,34,FALSE)</f>
        <v>#N/A</v>
      </c>
      <c r="E127" s="1114" t="e">
        <f>VLOOKUP(B127,'Livestock parameters'!$A$20:AK$34,36,FALSE)</f>
        <v>#N/A</v>
      </c>
      <c r="F127" s="575"/>
      <c r="J127" s="760"/>
    </row>
    <row r="128" spans="1:57">
      <c r="B128" s="1112">
        <f t="shared" si="21"/>
        <v>0</v>
      </c>
      <c r="C128" s="1109" t="e">
        <f t="shared" ca="1" si="22"/>
        <v>#REF!</v>
      </c>
      <c r="D128" s="1113" t="e">
        <f>VLOOKUP(B128,'Livestock parameters'!$A$20:AJ$34,34,FALSE)</f>
        <v>#N/A</v>
      </c>
      <c r="E128" s="1114" t="e">
        <f>VLOOKUP(B128,'Livestock parameters'!$A$20:AK$34,36,FALSE)</f>
        <v>#N/A</v>
      </c>
      <c r="F128" s="575"/>
      <c r="J128" s="760"/>
    </row>
    <row r="129" spans="2:55">
      <c r="B129" s="1112">
        <f t="shared" si="21"/>
        <v>0</v>
      </c>
      <c r="C129" s="1109" t="e">
        <f t="shared" ca="1" si="22"/>
        <v>#REF!</v>
      </c>
      <c r="D129" s="1113" t="e">
        <f>VLOOKUP(B129,'Livestock parameters'!$A$20:AJ$34,34,FALSE)</f>
        <v>#N/A</v>
      </c>
      <c r="E129" s="1114" t="e">
        <f>VLOOKUP(B129,'Livestock parameters'!$A$20:AK$34,36,FALSE)</f>
        <v>#N/A</v>
      </c>
      <c r="F129" s="575"/>
      <c r="J129" s="760"/>
    </row>
    <row r="130" spans="2:55">
      <c r="B130" s="1112">
        <f t="shared" si="21"/>
        <v>0</v>
      </c>
      <c r="C130" s="1109" t="e">
        <f t="shared" ca="1" si="22"/>
        <v>#REF!</v>
      </c>
      <c r="D130" s="1113" t="e">
        <f>VLOOKUP(B130,'Livestock parameters'!$A$20:AJ$34,34,FALSE)</f>
        <v>#N/A</v>
      </c>
      <c r="E130" s="1114" t="e">
        <f>VLOOKUP(B130,'Livestock parameters'!$A$20:AK$34,36,FALSE)</f>
        <v>#N/A</v>
      </c>
      <c r="F130" s="575"/>
      <c r="J130" s="760"/>
    </row>
    <row r="131" spans="2:55">
      <c r="B131" s="1112" t="e">
        <f>#REF!</f>
        <v>#REF!</v>
      </c>
      <c r="C131" s="1109" t="e">
        <f ca="1">IF(INDIRECT(CONCATENATE("[", "Baseline.xlsm","]INPUTS","!D18"))&lt;=#REF!,INDIRECT(CONCATENATE("[", "Baseline.xlsm","]INPUTS","!D18")),#REF!)</f>
        <v>#REF!</v>
      </c>
      <c r="D131" s="1113" t="e">
        <f>VLOOKUP(B131,'Livestock parameters'!$A$20:AJ$34,34,FALSE)</f>
        <v>#REF!</v>
      </c>
      <c r="E131" s="1114" t="e">
        <f>VLOOKUP(B131,'Livestock parameters'!$A$20:AK$34,36,FALSE)</f>
        <v>#REF!</v>
      </c>
      <c r="F131" s="575"/>
    </row>
    <row r="132" spans="2:55">
      <c r="B132" s="1112" t="e">
        <f>#REF!</f>
        <v>#REF!</v>
      </c>
      <c r="C132" s="1109" t="e">
        <f ca="1">IF(INDIRECT(CONCATENATE("[", "Baseline.xlsm","]INPUTS","!D18"))&lt;=#REF!,INDIRECT(CONCATENATE("[", "Baseline.xlsm","]INPUTS","!D18")),#REF!)</f>
        <v>#REF!</v>
      </c>
      <c r="D132" s="1113" t="e">
        <f>VLOOKUP(B132,'Livestock parameters'!$A$20:AJ$34,34,FALSE)</f>
        <v>#REF!</v>
      </c>
      <c r="E132" s="1114" t="e">
        <f>VLOOKUP(B132,'Livestock parameters'!$A$20:AK$34,36,FALSE)</f>
        <v>#REF!</v>
      </c>
      <c r="F132" s="575"/>
    </row>
    <row r="133" spans="2:55">
      <c r="B133" s="1112" t="e">
        <f>#REF!</f>
        <v>#REF!</v>
      </c>
      <c r="C133" s="1109" t="e">
        <f ca="1">IF(INDIRECT(CONCATENATE("[", "Baseline.xlsm","]INPUTS","!D18"))&lt;=#REF!,INDIRECT(CONCATENATE("[", "Baseline.xlsm","]INPUTS","!D18")),#REF!)</f>
        <v>#REF!</v>
      </c>
      <c r="D133" s="1113" t="e">
        <f>VLOOKUP(B133,'Livestock parameters'!$A$20:AJ$34,34,FALSE)</f>
        <v>#REF!</v>
      </c>
      <c r="E133" s="1114" t="e">
        <f>VLOOKUP(B133,'Livestock parameters'!$A$20:AK$34,36,FALSE)</f>
        <v>#REF!</v>
      </c>
      <c r="F133" s="575"/>
    </row>
    <row r="134" spans="2:55">
      <c r="B134" s="1112" t="e">
        <f>#REF!</f>
        <v>#REF!</v>
      </c>
      <c r="C134" s="1109" t="e">
        <f ca="1">IF(INDIRECT(CONCATENATE("[", "Baseline.xlsm","]INPUTS","!D18"))&lt;=#REF!,INDIRECT(CONCATENATE("[", "Baseline.xlsm","]INPUTS","!D18")),#REF!)</f>
        <v>#REF!</v>
      </c>
      <c r="D134" s="1113" t="e">
        <f>VLOOKUP(B134,'Livestock parameters'!$A$20:AJ$34,34,FALSE)</f>
        <v>#REF!</v>
      </c>
      <c r="E134" s="1114" t="e">
        <f>VLOOKUP(B134,'Livestock parameters'!$A$20:AK$34,36,FALSE)</f>
        <v>#REF!</v>
      </c>
      <c r="F134" s="575"/>
    </row>
    <row r="135" spans="2:55" ht="16.5" thickBot="1">
      <c r="B135" s="1112" t="e">
        <f>#REF!</f>
        <v>#REF!</v>
      </c>
      <c r="C135" s="1109" t="e">
        <f ca="1">IF(INDIRECT(CONCATENATE("[", "Baseline.xlsm","]INPUTS","!D18"))&lt;=#REF!,INDIRECT(CONCATENATE("[", "Baseline.xlsm","]INPUTS","!D18")),#REF!)</f>
        <v>#REF!</v>
      </c>
      <c r="D135" s="1113" t="e">
        <f>VLOOKUP(B135,'Livestock parameters'!$A$20:AJ$34,34,FALSE)</f>
        <v>#REF!</v>
      </c>
      <c r="E135" s="1114" t="e">
        <f>VLOOKUP(B135,'Livestock parameters'!$A$20:AK$34,36,FALSE)</f>
        <v>#REF!</v>
      </c>
      <c r="F135" s="604"/>
    </row>
    <row r="136" spans="2:55">
      <c r="B136" s="368"/>
      <c r="C136" s="526"/>
      <c r="D136" s="311"/>
      <c r="E136" s="311"/>
      <c r="F136" s="311"/>
      <c r="BC136" s="361"/>
    </row>
    <row r="137" spans="2:55" ht="16.5" thickBot="1">
      <c r="B137" s="518"/>
      <c r="C137" s="308"/>
      <c r="D137" s="308"/>
      <c r="E137" s="308"/>
      <c r="F137" s="308"/>
      <c r="G137" s="308"/>
      <c r="BC137" s="361"/>
    </row>
    <row r="138" spans="2:55" ht="26.25" customHeight="1" thickBot="1">
      <c r="B138" s="566" t="s">
        <v>1482</v>
      </c>
      <c r="C138" s="311"/>
      <c r="D138" s="311"/>
      <c r="E138" s="311"/>
      <c r="F138" s="311"/>
      <c r="G138" s="527"/>
      <c r="H138" s="365"/>
      <c r="BC138" s="361"/>
    </row>
    <row r="139" spans="2:55" ht="31.5">
      <c r="B139" s="1115"/>
      <c r="C139" s="1110" t="s">
        <v>1180</v>
      </c>
      <c r="D139" s="1110" t="s">
        <v>1483</v>
      </c>
      <c r="E139" s="1110" t="s">
        <v>1484</v>
      </c>
      <c r="F139" s="1116" t="s">
        <v>1197</v>
      </c>
      <c r="G139" s="1111" t="s">
        <v>1196</v>
      </c>
      <c r="H139" s="1111" t="s">
        <v>1183</v>
      </c>
      <c r="I139" s="505"/>
      <c r="BC139" s="361"/>
    </row>
    <row r="140" spans="2:55">
      <c r="B140" s="1112" t="str">
        <f>B122</f>
        <v>Cows (improved)</v>
      </c>
      <c r="C140" s="1109" t="e">
        <f t="shared" ref="C140:C148" ca="1" si="23">D17-INDIRECT(CONCATENATE("[", "Baseline.xlsm","]INPUTS","!D18"))</f>
        <v>#REF!</v>
      </c>
      <c r="D140" s="1113">
        <f>VLOOKUP(B140,'Livestock parameters'!$A$20:$AJ$34,33,FALSE)</f>
        <v>1500</v>
      </c>
      <c r="E140" s="1113">
        <f>VLOOKUP(B140,'Livestock parameters'!$A$20:AJ$34,34,FALSE)</f>
        <v>20</v>
      </c>
      <c r="F140" s="1113">
        <f>VLOOKUP(B140,'Livestock parameters'!$A$20:AK$34,35,FALSE)</f>
        <v>0</v>
      </c>
      <c r="G140" s="1113">
        <f>VLOOKUP(B140,'Livestock parameters'!$A$20:AK$34,36,FALSE)</f>
        <v>8</v>
      </c>
      <c r="H140" s="575"/>
      <c r="K140" s="360" t="e">
        <f ca="1">C140*E140+C140*G140*Economics_Parameters!$C$12</f>
        <v>#REF!</v>
      </c>
      <c r="BC140" s="361"/>
    </row>
    <row r="141" spans="2:55">
      <c r="B141" s="1112" t="str">
        <f t="shared" ref="B141:B153" si="24">B123</f>
        <v>Steers/heifers</v>
      </c>
      <c r="C141" s="1109" t="e">
        <f t="shared" ca="1" si="23"/>
        <v>#REF!</v>
      </c>
      <c r="D141" s="1113">
        <f>VLOOKUP(B141,'Livestock parameters'!$A$20:$AJ$34,33,FALSE)</f>
        <v>500</v>
      </c>
      <c r="E141" s="1113">
        <f>VLOOKUP(B141,'Livestock parameters'!$A$20:AJ$34,34,FALSE)</f>
        <v>5</v>
      </c>
      <c r="F141" s="1113">
        <f>VLOOKUP(B141,'Livestock parameters'!$A$20:AK$34,35,FALSE)</f>
        <v>0</v>
      </c>
      <c r="G141" s="1113">
        <f>VLOOKUP(B141,'Livestock parameters'!$A$20:AK$34,36,FALSE)</f>
        <v>2</v>
      </c>
      <c r="H141" s="575" t="s">
        <v>1641</v>
      </c>
      <c r="K141" s="360" t="e">
        <f ca="1">C141*E141+C141*G141*Economics_Parameters!$C$12</f>
        <v>#REF!</v>
      </c>
      <c r="BC141" s="361"/>
    </row>
    <row r="142" spans="2:55">
      <c r="B142" s="1112">
        <f t="shared" si="24"/>
        <v>0</v>
      </c>
      <c r="C142" s="1109" t="e">
        <f t="shared" ca="1" si="23"/>
        <v>#REF!</v>
      </c>
      <c r="D142" s="1113" t="e">
        <f>VLOOKUP(B142,'Livestock parameters'!$A$20:$AJ$34,33,FALSE)</f>
        <v>#N/A</v>
      </c>
      <c r="E142" s="1113" t="e">
        <f>VLOOKUP(B142,'Livestock parameters'!$A$20:AJ$34,34,FALSE)</f>
        <v>#N/A</v>
      </c>
      <c r="F142" s="1113" t="e">
        <f>VLOOKUP(B142,'Livestock parameters'!$A$20:AK$34,35,FALSE)</f>
        <v>#N/A</v>
      </c>
      <c r="G142" s="1113" t="e">
        <f>VLOOKUP(B142,'Livestock parameters'!$A$20:AK$34,36,FALSE)</f>
        <v>#N/A</v>
      </c>
      <c r="H142" s="575"/>
      <c r="K142" s="360" t="e">
        <f ca="1">C142*E142+C142*G142*Economics_Parameters!$C$12</f>
        <v>#REF!</v>
      </c>
      <c r="BC142" s="361"/>
    </row>
    <row r="143" spans="2:55">
      <c r="B143" s="1112">
        <f t="shared" si="24"/>
        <v>0</v>
      </c>
      <c r="C143" s="1109" t="e">
        <f t="shared" ca="1" si="23"/>
        <v>#REF!</v>
      </c>
      <c r="D143" s="1113" t="e">
        <f>VLOOKUP(B143,'Livestock parameters'!$A$20:$AJ$34,33,FALSE)</f>
        <v>#N/A</v>
      </c>
      <c r="E143" s="1113" t="e">
        <f>VLOOKUP(B143,'Livestock parameters'!$A$20:AJ$34,34,FALSE)</f>
        <v>#N/A</v>
      </c>
      <c r="F143" s="1113" t="e">
        <f>VLOOKUP(B143,'Livestock parameters'!$A$20:AK$34,35,FALSE)</f>
        <v>#N/A</v>
      </c>
      <c r="G143" s="1113" t="e">
        <f>VLOOKUP(B143,'Livestock parameters'!$A$20:AK$34,36,FALSE)</f>
        <v>#N/A</v>
      </c>
      <c r="H143" s="575"/>
      <c r="K143" s="360" t="e">
        <f ca="1">C143*E143+C143*G143*Economics_Parameters!$C$12</f>
        <v>#REF!</v>
      </c>
      <c r="AI143" s="361"/>
    </row>
    <row r="144" spans="2:55">
      <c r="B144" s="1112">
        <f t="shared" si="24"/>
        <v>0</v>
      </c>
      <c r="C144" s="1109" t="e">
        <f t="shared" ca="1" si="23"/>
        <v>#REF!</v>
      </c>
      <c r="D144" s="1113" t="e">
        <f>VLOOKUP(B144,'Livestock parameters'!$A$20:$AJ$34,33,FALSE)</f>
        <v>#N/A</v>
      </c>
      <c r="E144" s="1113" t="e">
        <f>VLOOKUP(B144,'Livestock parameters'!$A$20:AJ$34,34,FALSE)</f>
        <v>#N/A</v>
      </c>
      <c r="F144" s="1113" t="e">
        <f>VLOOKUP(B144,'Livestock parameters'!$A$20:AK$34,35,FALSE)</f>
        <v>#N/A</v>
      </c>
      <c r="G144" s="1113" t="e">
        <f>VLOOKUP(B144,'Livestock parameters'!$A$20:AK$34,36,FALSE)</f>
        <v>#N/A</v>
      </c>
      <c r="H144" s="575"/>
      <c r="K144" s="360" t="e">
        <f ca="1">C144*E144+C144*G144*Economics_Parameters!$C$12</f>
        <v>#REF!</v>
      </c>
      <c r="AI144" s="361"/>
    </row>
    <row r="145" spans="1:59">
      <c r="B145" s="1112">
        <f t="shared" si="24"/>
        <v>0</v>
      </c>
      <c r="C145" s="1109" t="e">
        <f t="shared" ca="1" si="23"/>
        <v>#REF!</v>
      </c>
      <c r="D145" s="1113" t="e">
        <f>VLOOKUP(B145,'Livestock parameters'!$A$20:$AJ$34,33,FALSE)</f>
        <v>#N/A</v>
      </c>
      <c r="E145" s="1113" t="e">
        <f>VLOOKUP(B145,'Livestock parameters'!$A$20:AJ$34,34,FALSE)</f>
        <v>#N/A</v>
      </c>
      <c r="F145" s="1113" t="e">
        <f>VLOOKUP(B145,'Livestock parameters'!$A$20:AK$34,35,FALSE)</f>
        <v>#N/A</v>
      </c>
      <c r="G145" s="1113" t="e">
        <f>VLOOKUP(B145,'Livestock parameters'!$A$20:AK$34,36,FALSE)</f>
        <v>#N/A</v>
      </c>
      <c r="H145" s="575" t="s">
        <v>1642</v>
      </c>
      <c r="K145" s="360" t="e">
        <f ca="1">C145*E145+C145*G145*Economics_Parameters!$C$12</f>
        <v>#REF!</v>
      </c>
      <c r="AI145" s="361"/>
    </row>
    <row r="146" spans="1:59">
      <c r="B146" s="1112">
        <f t="shared" si="24"/>
        <v>0</v>
      </c>
      <c r="C146" s="1109" t="e">
        <f t="shared" ca="1" si="23"/>
        <v>#REF!</v>
      </c>
      <c r="D146" s="1113" t="e">
        <f>VLOOKUP(B146,'Livestock parameters'!$A$20:$AJ$34,33,FALSE)</f>
        <v>#N/A</v>
      </c>
      <c r="E146" s="1113" t="e">
        <f>VLOOKUP(B146,'Livestock parameters'!$A$20:AJ$34,34,FALSE)</f>
        <v>#N/A</v>
      </c>
      <c r="F146" s="1113" t="e">
        <f>VLOOKUP(B146,'Livestock parameters'!$A$20:AK$34,35,FALSE)</f>
        <v>#N/A</v>
      </c>
      <c r="G146" s="1113" t="e">
        <f>VLOOKUP(B146,'Livestock parameters'!$A$20:AK$34,36,FALSE)</f>
        <v>#N/A</v>
      </c>
      <c r="H146" s="575" t="s">
        <v>1642</v>
      </c>
      <c r="K146" s="360" t="e">
        <f ca="1">C146*E146+C146*G146*Economics_Parameters!$C$12</f>
        <v>#REF!</v>
      </c>
      <c r="AI146" s="361"/>
    </row>
    <row r="147" spans="1:59">
      <c r="B147" s="1112">
        <f t="shared" si="24"/>
        <v>0</v>
      </c>
      <c r="C147" s="1109" t="e">
        <f t="shared" ca="1" si="23"/>
        <v>#REF!</v>
      </c>
      <c r="D147" s="1113" t="e">
        <f>VLOOKUP(B147,'Livestock parameters'!$A$20:$AJ$34,33,FALSE)</f>
        <v>#N/A</v>
      </c>
      <c r="E147" s="1113" t="e">
        <f>VLOOKUP(B147,'Livestock parameters'!$A$20:AJ$34,34,FALSE)</f>
        <v>#N/A</v>
      </c>
      <c r="F147" s="1113" t="e">
        <f>VLOOKUP(B147,'Livestock parameters'!$A$20:AK$34,35,FALSE)</f>
        <v>#N/A</v>
      </c>
      <c r="G147" s="1113" t="e">
        <f>VLOOKUP(B147,'Livestock parameters'!$A$20:AK$34,36,FALSE)</f>
        <v>#N/A</v>
      </c>
      <c r="H147" s="575"/>
      <c r="AI147" s="361"/>
    </row>
    <row r="148" spans="1:59">
      <c r="B148" s="1112">
        <f t="shared" si="24"/>
        <v>0</v>
      </c>
      <c r="C148" s="1109" t="e">
        <f t="shared" ca="1" si="23"/>
        <v>#REF!</v>
      </c>
      <c r="D148" s="1113" t="e">
        <f>VLOOKUP(B148,'Livestock parameters'!$A$20:$AJ$34,33,FALSE)</f>
        <v>#N/A</v>
      </c>
      <c r="E148" s="1113" t="e">
        <f>VLOOKUP(B148,'Livestock parameters'!$A$20:AJ$34,34,FALSE)</f>
        <v>#N/A</v>
      </c>
      <c r="F148" s="1113" t="e">
        <f>VLOOKUP(B148,'Livestock parameters'!$A$20:AK$34,35,FALSE)</f>
        <v>#N/A</v>
      </c>
      <c r="G148" s="1113" t="e">
        <f>VLOOKUP(B148,'Livestock parameters'!$A$20:AK$34,36,FALSE)</f>
        <v>#N/A</v>
      </c>
      <c r="H148" s="575"/>
      <c r="AI148" s="361"/>
    </row>
    <row r="149" spans="1:59">
      <c r="B149" s="1112" t="e">
        <f t="shared" si="24"/>
        <v>#REF!</v>
      </c>
      <c r="C149" s="1109" t="e">
        <f ca="1">#REF!-INDIRECT(CONCATENATE("[", "Baseline.xlsm","]INPUTS","!D18"))</f>
        <v>#REF!</v>
      </c>
      <c r="D149" s="1113" t="e">
        <f>VLOOKUP(B149,'Livestock parameters'!$A$20:$AJ$34,33,FALSE)</f>
        <v>#REF!</v>
      </c>
      <c r="E149" s="1113" t="e">
        <f>VLOOKUP(B149,'Livestock parameters'!$A$20:AJ$34,34,FALSE)</f>
        <v>#REF!</v>
      </c>
      <c r="F149" s="1113" t="e">
        <f>VLOOKUP(B149,'Livestock parameters'!$A$20:AK$34,35,FALSE)</f>
        <v>#REF!</v>
      </c>
      <c r="G149" s="1113" t="e">
        <f>VLOOKUP(B149,'Livestock parameters'!$A$20:AK$34,36,FALSE)</f>
        <v>#REF!</v>
      </c>
      <c r="H149" s="575"/>
      <c r="K149" s="360" t="e">
        <f ca="1">C149*E149+C149*G149*Economics_Parameters!$C$12</f>
        <v>#REF!</v>
      </c>
      <c r="AI149" s="361"/>
    </row>
    <row r="150" spans="1:59" s="361" customFormat="1">
      <c r="A150" s="360"/>
      <c r="B150" s="1112" t="e">
        <f t="shared" si="24"/>
        <v>#REF!</v>
      </c>
      <c r="C150" s="1109" t="e">
        <f ca="1">#REF!-INDIRECT(CONCATENATE("[", "Baseline.xlsm","]INPUTS","!D18"))</f>
        <v>#REF!</v>
      </c>
      <c r="D150" s="1113" t="e">
        <f>VLOOKUP(B150,'Livestock parameters'!$A$20:$AJ$34,33,FALSE)</f>
        <v>#REF!</v>
      </c>
      <c r="E150" s="1113" t="e">
        <f>VLOOKUP(B150,'Livestock parameters'!$A$20:AJ$34,34,FALSE)</f>
        <v>#REF!</v>
      </c>
      <c r="F150" s="1113" t="e">
        <f>VLOOKUP(B150,'Livestock parameters'!$A$20:AK$34,35,FALSE)</f>
        <v>#REF!</v>
      </c>
      <c r="G150" s="1113" t="e">
        <f>VLOOKUP(B150,'Livestock parameters'!$A$20:AK$34,36,FALSE)</f>
        <v>#REF!</v>
      </c>
      <c r="H150" s="575"/>
      <c r="I150" s="360"/>
      <c r="J150" s="360"/>
      <c r="K150" s="360" t="e">
        <f ca="1">C150*E150+C150*G150*Economics_Parameters!$C$12</f>
        <v>#REF!</v>
      </c>
      <c r="L150" s="360"/>
      <c r="M150" s="360"/>
      <c r="N150" s="360"/>
      <c r="O150" s="360"/>
      <c r="P150" s="360"/>
      <c r="Q150" s="360"/>
      <c r="R150" s="360"/>
      <c r="S150" s="360"/>
      <c r="T150" s="360"/>
      <c r="U150" s="360"/>
      <c r="V150" s="360"/>
      <c r="W150" s="360"/>
      <c r="X150" s="360"/>
      <c r="Y150" s="360"/>
      <c r="Z150" s="360"/>
      <c r="AA150" s="360"/>
      <c r="AB150" s="360"/>
      <c r="AC150" s="360"/>
      <c r="AD150" s="360"/>
      <c r="AE150" s="360"/>
      <c r="AF150" s="360"/>
      <c r="AG150" s="360"/>
      <c r="AH150" s="360"/>
      <c r="AJ150" s="360"/>
      <c r="AK150" s="360"/>
      <c r="AL150" s="360"/>
      <c r="AM150" s="360"/>
      <c r="AN150" s="360"/>
      <c r="AO150" s="360"/>
      <c r="AP150" s="360"/>
      <c r="AQ150" s="360"/>
      <c r="AR150" s="360"/>
      <c r="AS150" s="360"/>
      <c r="AT150" s="360"/>
      <c r="AU150" s="360"/>
      <c r="AV150" s="360"/>
      <c r="AW150" s="360"/>
      <c r="AX150" s="360"/>
      <c r="AY150" s="360"/>
      <c r="BC150" s="360"/>
      <c r="BD150" s="360"/>
      <c r="BE150" s="360"/>
    </row>
    <row r="151" spans="1:59" s="361" customFormat="1">
      <c r="A151" s="360"/>
      <c r="B151" s="1112" t="e">
        <f t="shared" si="24"/>
        <v>#REF!</v>
      </c>
      <c r="C151" s="1109" t="e">
        <f ca="1">#REF!-INDIRECT(CONCATENATE("[", "Baseline.xlsm","]INPUTS","!D18"))</f>
        <v>#REF!</v>
      </c>
      <c r="D151" s="1113" t="e">
        <f>VLOOKUP(B151,'Livestock parameters'!$A$20:$AJ$34,33,FALSE)</f>
        <v>#REF!</v>
      </c>
      <c r="E151" s="1113" t="e">
        <f>VLOOKUP(B151,'Livestock parameters'!$A$20:AJ$34,34,FALSE)</f>
        <v>#REF!</v>
      </c>
      <c r="F151" s="1113" t="e">
        <f>VLOOKUP(B151,'Livestock parameters'!$A$20:AK$34,35,FALSE)</f>
        <v>#REF!</v>
      </c>
      <c r="G151" s="1113" t="e">
        <f>VLOOKUP(B151,'Livestock parameters'!$A$20:AK$34,36,FALSE)</f>
        <v>#REF!</v>
      </c>
      <c r="H151" s="575"/>
      <c r="I151" s="360"/>
      <c r="J151" s="360"/>
      <c r="K151" s="360" t="e">
        <f ca="1">C151*E151+C151*G151*Economics_Parameters!$C$12</f>
        <v>#REF!</v>
      </c>
      <c r="L151" s="360"/>
      <c r="M151" s="360"/>
      <c r="N151" s="360"/>
      <c r="O151" s="360"/>
      <c r="P151" s="360"/>
      <c r="Q151" s="360"/>
      <c r="R151" s="360"/>
      <c r="S151" s="360"/>
      <c r="T151" s="360"/>
      <c r="U151" s="360"/>
      <c r="V151" s="360"/>
      <c r="W151" s="360"/>
      <c r="X151" s="360"/>
      <c r="Y151" s="360"/>
      <c r="Z151" s="360"/>
      <c r="AA151" s="360"/>
      <c r="AB151" s="360"/>
      <c r="AC151" s="360"/>
      <c r="AD151" s="360"/>
      <c r="AE151" s="360"/>
      <c r="AF151" s="360"/>
      <c r="AG151" s="360"/>
      <c r="AH151" s="360"/>
      <c r="AJ151" s="360"/>
      <c r="AK151" s="360"/>
      <c r="AL151" s="360"/>
      <c r="AM151" s="360"/>
      <c r="AN151" s="360"/>
      <c r="AO151" s="360"/>
      <c r="AP151" s="360"/>
      <c r="AQ151" s="360"/>
      <c r="AR151" s="360"/>
      <c r="AS151" s="360"/>
      <c r="AT151" s="360"/>
      <c r="AU151" s="360"/>
      <c r="AV151" s="360"/>
      <c r="AW151" s="360"/>
      <c r="AX151" s="360"/>
      <c r="AY151" s="360"/>
      <c r="BC151" s="360"/>
      <c r="BD151" s="360"/>
      <c r="BE151" s="360"/>
    </row>
    <row r="152" spans="1:59" s="361" customFormat="1">
      <c r="A152" s="360"/>
      <c r="B152" s="1112" t="e">
        <f t="shared" si="24"/>
        <v>#REF!</v>
      </c>
      <c r="C152" s="1109" t="e">
        <f ca="1">#REF!-INDIRECT(CONCATENATE("[", "Baseline.xlsm","]INPUTS","!D18"))</f>
        <v>#REF!</v>
      </c>
      <c r="D152" s="1113" t="e">
        <f>VLOOKUP(B152,'Livestock parameters'!$A$20:$AJ$34,33,FALSE)</f>
        <v>#REF!</v>
      </c>
      <c r="E152" s="1113" t="e">
        <f>VLOOKUP(B152,'Livestock parameters'!$A$20:AJ$34,34,FALSE)</f>
        <v>#REF!</v>
      </c>
      <c r="F152" s="1113" t="e">
        <f>VLOOKUP(B152,'Livestock parameters'!$A$20:AK$34,35,FALSE)</f>
        <v>#REF!</v>
      </c>
      <c r="G152" s="1113" t="e">
        <f>VLOOKUP(B152,'Livestock parameters'!$A$20:AK$34,36,FALSE)</f>
        <v>#REF!</v>
      </c>
      <c r="H152" s="575"/>
      <c r="I152" s="360"/>
      <c r="J152" s="360"/>
      <c r="K152" s="360" t="e">
        <f ca="1">C152*E152+C152*G152*Economics_Parameters!$C$12</f>
        <v>#REF!</v>
      </c>
      <c r="L152" s="360"/>
      <c r="M152" s="360"/>
      <c r="N152" s="360"/>
      <c r="O152" s="360"/>
      <c r="P152" s="360"/>
      <c r="Q152" s="360"/>
      <c r="R152" s="360"/>
      <c r="S152" s="360"/>
      <c r="T152" s="360"/>
      <c r="U152" s="360"/>
      <c r="V152" s="360"/>
      <c r="W152" s="360"/>
      <c r="X152" s="360"/>
      <c r="Y152" s="360"/>
      <c r="Z152" s="360"/>
      <c r="AA152" s="360"/>
      <c r="AB152" s="360"/>
      <c r="AC152" s="360"/>
      <c r="AD152" s="360"/>
      <c r="AE152" s="360"/>
      <c r="AF152" s="360"/>
      <c r="AG152" s="360"/>
      <c r="AI152" s="360"/>
      <c r="AJ152" s="360"/>
      <c r="AK152" s="360"/>
      <c r="AL152" s="360"/>
      <c r="AM152" s="360"/>
      <c r="AN152" s="360"/>
      <c r="AO152" s="360"/>
      <c r="AP152" s="360"/>
      <c r="AQ152" s="360"/>
      <c r="AR152" s="360"/>
      <c r="AS152" s="360"/>
      <c r="AT152" s="360"/>
      <c r="AU152" s="360"/>
      <c r="AV152" s="360"/>
      <c r="AW152" s="360"/>
      <c r="AX152" s="360"/>
      <c r="AY152" s="360"/>
      <c r="BC152" s="360"/>
      <c r="BD152" s="360"/>
      <c r="BE152" s="360"/>
    </row>
    <row r="153" spans="1:59" s="361" customFormat="1" ht="16.5" thickBot="1">
      <c r="A153" s="360"/>
      <c r="B153" s="1112" t="e">
        <f t="shared" si="24"/>
        <v>#REF!</v>
      </c>
      <c r="C153" s="1109" t="e">
        <f ca="1">#REF!-INDIRECT(CONCATENATE("[", "Baseline.xlsm","]INPUTS","!D18"))</f>
        <v>#REF!</v>
      </c>
      <c r="D153" s="1113" t="e">
        <f>VLOOKUP(B153,'Livestock parameters'!$A$20:$AJ$34,33,FALSE)</f>
        <v>#REF!</v>
      </c>
      <c r="E153" s="1113" t="e">
        <f>VLOOKUP(B153,'Livestock parameters'!$A$20:AJ$34,34,FALSE)</f>
        <v>#REF!</v>
      </c>
      <c r="F153" s="1113" t="e">
        <f>VLOOKUP(B153,'Livestock parameters'!$A$20:AK$34,35,FALSE)</f>
        <v>#REF!</v>
      </c>
      <c r="G153" s="1113" t="e">
        <f>VLOOKUP(B153,'Livestock parameters'!$A$20:AK$34,36,FALSE)</f>
        <v>#REF!</v>
      </c>
      <c r="H153" s="604"/>
      <c r="I153" s="360"/>
      <c r="J153" s="360"/>
      <c r="K153" s="360" t="e">
        <f ca="1">C153*E153+C153*G153*Economics_Parameters!$C$12</f>
        <v>#REF!</v>
      </c>
      <c r="L153" s="360"/>
      <c r="M153" s="360"/>
      <c r="N153" s="360"/>
      <c r="O153" s="360"/>
      <c r="P153" s="360"/>
      <c r="Q153" s="360"/>
      <c r="R153" s="360"/>
      <c r="S153" s="360"/>
      <c r="T153" s="360"/>
      <c r="U153" s="360"/>
      <c r="V153" s="360"/>
      <c r="W153" s="360"/>
      <c r="X153" s="360"/>
      <c r="Y153" s="360"/>
      <c r="Z153" s="360"/>
      <c r="AA153" s="360"/>
      <c r="AB153" s="360"/>
      <c r="AC153" s="360"/>
      <c r="AD153" s="360"/>
      <c r="AE153" s="360"/>
      <c r="AF153" s="360"/>
      <c r="AG153" s="360"/>
      <c r="AI153" s="360"/>
      <c r="AJ153" s="360"/>
      <c r="AK153" s="360"/>
      <c r="AL153" s="360"/>
      <c r="AM153" s="360"/>
      <c r="AN153" s="360"/>
      <c r="AO153" s="360"/>
      <c r="AP153" s="360"/>
      <c r="AQ153" s="360"/>
      <c r="AR153" s="360"/>
      <c r="AS153" s="360"/>
      <c r="AT153" s="360"/>
      <c r="AU153" s="360"/>
      <c r="AV153" s="360"/>
      <c r="AW153" s="360"/>
      <c r="AX153" s="360"/>
      <c r="AY153" s="360"/>
      <c r="BC153" s="360"/>
      <c r="BD153" s="360"/>
      <c r="BE153" s="360"/>
    </row>
    <row r="154" spans="1:59" s="361" customFormat="1" ht="16.5" thickBot="1">
      <c r="A154" s="360"/>
      <c r="C154" s="360"/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60"/>
      <c r="Q154" s="360"/>
      <c r="R154" s="360"/>
      <c r="S154" s="360"/>
      <c r="T154" s="360"/>
      <c r="U154" s="360"/>
      <c r="V154" s="360"/>
      <c r="W154" s="360"/>
      <c r="X154" s="360"/>
      <c r="Y154" s="360"/>
      <c r="Z154" s="360"/>
      <c r="AA154" s="360"/>
      <c r="AB154" s="360"/>
      <c r="AC154" s="360"/>
      <c r="AD154" s="360"/>
      <c r="AE154" s="360"/>
      <c r="AF154" s="360"/>
      <c r="AG154" s="360"/>
      <c r="AI154" s="360"/>
      <c r="AJ154" s="360"/>
      <c r="AK154" s="360"/>
      <c r="AL154" s="360"/>
      <c r="AM154" s="360"/>
      <c r="AN154" s="360"/>
      <c r="AO154" s="360"/>
      <c r="AP154" s="360"/>
      <c r="AQ154" s="360"/>
      <c r="AR154" s="360"/>
      <c r="AS154" s="360"/>
      <c r="AT154" s="360"/>
      <c r="AU154" s="360"/>
      <c r="AV154" s="360"/>
      <c r="AW154" s="360"/>
      <c r="AX154" s="360"/>
      <c r="AY154" s="360"/>
      <c r="BC154" s="360"/>
      <c r="BD154" s="360"/>
      <c r="BE154" s="360"/>
    </row>
    <row r="155" spans="1:59" s="361" customFormat="1" ht="16.5" thickBot="1">
      <c r="A155" s="360"/>
      <c r="C155" s="377"/>
      <c r="D155" s="527"/>
      <c r="E155" s="527"/>
      <c r="F155" s="527" t="s">
        <v>44</v>
      </c>
      <c r="G155" s="365"/>
      <c r="H155" s="360"/>
      <c r="I155" s="360"/>
      <c r="J155" s="360"/>
      <c r="K155" s="360"/>
      <c r="L155" s="360"/>
      <c r="M155" s="360"/>
      <c r="N155" s="360"/>
      <c r="O155" s="360"/>
      <c r="P155" s="360"/>
      <c r="Q155" s="360"/>
      <c r="R155" s="360"/>
      <c r="S155" s="360"/>
      <c r="T155" s="360"/>
      <c r="U155" s="360"/>
      <c r="V155" s="360"/>
      <c r="W155" s="360"/>
      <c r="X155" s="360"/>
      <c r="Y155" s="360"/>
      <c r="Z155" s="360"/>
      <c r="AA155" s="360"/>
      <c r="AB155" s="360"/>
      <c r="AC155" s="360"/>
      <c r="AD155" s="360"/>
      <c r="AE155" s="360"/>
      <c r="AF155" s="360"/>
      <c r="AG155" s="360"/>
      <c r="AI155" s="360"/>
      <c r="AJ155" s="360"/>
      <c r="AK155" s="360"/>
      <c r="AL155" s="360"/>
      <c r="AM155" s="360"/>
      <c r="AN155" s="360"/>
      <c r="AO155" s="360"/>
      <c r="AP155" s="360"/>
      <c r="AQ155" s="360"/>
      <c r="AR155" s="360"/>
      <c r="AS155" s="360"/>
      <c r="AT155" s="360"/>
      <c r="AU155" s="360"/>
      <c r="AV155" s="360"/>
      <c r="AW155" s="360"/>
      <c r="AX155" s="360"/>
      <c r="AY155" s="360"/>
      <c r="BC155" s="360"/>
      <c r="BD155" s="360"/>
      <c r="BE155" s="360"/>
    </row>
    <row r="156" spans="1:59" s="361" customFormat="1" ht="32.25" thickBot="1">
      <c r="A156" s="360"/>
      <c r="B156" s="1125" t="s">
        <v>1643</v>
      </c>
      <c r="C156" s="1126" t="s">
        <v>1706</v>
      </c>
      <c r="D156" s="1126" t="s">
        <v>1342</v>
      </c>
      <c r="E156" s="1110" t="s">
        <v>1488</v>
      </c>
      <c r="F156" s="1127" t="s">
        <v>1644</v>
      </c>
      <c r="G156" s="1111" t="s">
        <v>1256</v>
      </c>
      <c r="H156" s="1116" t="s">
        <v>1257</v>
      </c>
      <c r="I156" s="1128" t="s">
        <v>1183</v>
      </c>
      <c r="K156" s="361" t="s">
        <v>1686</v>
      </c>
      <c r="L156" s="360"/>
      <c r="M156" s="360"/>
      <c r="N156" s="360"/>
      <c r="O156" s="360"/>
      <c r="P156" s="360"/>
      <c r="Q156" s="360"/>
      <c r="R156" s="360"/>
      <c r="S156" s="360"/>
      <c r="T156" s="360"/>
      <c r="U156" s="360"/>
      <c r="V156" s="360"/>
      <c r="W156" s="360"/>
      <c r="X156" s="360"/>
      <c r="Y156" s="360"/>
      <c r="Z156" s="360"/>
      <c r="AA156" s="360"/>
      <c r="AB156" s="360"/>
      <c r="AC156" s="360"/>
      <c r="AD156" s="360"/>
      <c r="AE156" s="360"/>
      <c r="AF156" s="360"/>
      <c r="AG156" s="360"/>
      <c r="AH156" s="360"/>
      <c r="AI156" s="360"/>
      <c r="AK156" s="360"/>
      <c r="AL156" s="360"/>
      <c r="AM156" s="360"/>
      <c r="AN156" s="360"/>
      <c r="AO156" s="360"/>
      <c r="AP156" s="360"/>
      <c r="AQ156" s="360"/>
      <c r="AR156" s="360"/>
      <c r="AS156" s="360"/>
      <c r="AT156" s="360"/>
      <c r="AU156" s="360"/>
      <c r="AV156" s="360"/>
      <c r="AW156" s="360"/>
      <c r="AX156" s="360"/>
      <c r="AY156" s="360"/>
      <c r="AZ156" s="360"/>
      <c r="BA156" s="360"/>
      <c r="BE156" s="360"/>
      <c r="BF156" s="360"/>
      <c r="BG156" s="360"/>
    </row>
    <row r="157" spans="1:59">
      <c r="A157" s="361"/>
      <c r="B157" s="1117" t="e">
        <f ca="1">IF(B56=INDIRECT(CONCATENATE("[", "Baseline.xlsm","]INPUTS","!B55")),B56,"")</f>
        <v>#REF!</v>
      </c>
      <c r="C157" s="1118" t="e">
        <f ca="1">IF(B157&lt;&gt; "", 'Land requirements'!F4-INDIRECT(CONCATENATE("'[", "Baseline.xlsm","]Land requirements'","!E4")), 0)</f>
        <v>#REF!</v>
      </c>
      <c r="D157" s="1118" t="e">
        <f ca="1">IF(C157&lt;&gt; 0, 'Land requirements'!F17-INDIRECT(CONCATENATE("'[", "Baseline.xlsm","]Land requirements'","!E17")), 0)</f>
        <v>#REF!</v>
      </c>
      <c r="E157" s="1113" t="e">
        <f ca="1">VLOOKUP(B157,'Feed parameters'!$A$2:$M$113,10,FALSE)</f>
        <v>#REF!</v>
      </c>
      <c r="F157" s="1113" t="e">
        <f ca="1">VLOOKUP(B157,'Feed parameters'!$A$2:$M$113,11,FALSE)</f>
        <v>#REF!</v>
      </c>
      <c r="G157" s="1119" t="e">
        <f ca="1">VLOOKUP(B157,'Feed parameters'!$A$2:$M$113,12,FALSE)</f>
        <v>#REF!</v>
      </c>
      <c r="H157" s="1113" t="e">
        <f ca="1">VLOOKUP(B157,'Feed parameters'!$A$2:$M$113,13,FALSE)</f>
        <v>#REF!</v>
      </c>
      <c r="I157" s="575"/>
      <c r="J157" s="720"/>
      <c r="K157" s="720" t="e">
        <f ca="1">C157*F157+C157*H157*Economics_Parameters!$C$12</f>
        <v>#REF!</v>
      </c>
      <c r="L157" s="361"/>
      <c r="M157" s="361"/>
      <c r="N157" s="361"/>
      <c r="O157" s="361"/>
      <c r="P157" s="361"/>
      <c r="Q157" s="361"/>
      <c r="R157" s="361"/>
      <c r="S157" s="361"/>
      <c r="T157" s="361"/>
      <c r="U157" s="361"/>
      <c r="AJ157" s="361"/>
    </row>
    <row r="158" spans="1:59">
      <c r="A158" s="361"/>
      <c r="B158" s="1120" t="e">
        <f ca="1">IF(B57=INDIRECT(CONCATENATE("[", "Baseline.xlsm","]INPUTS","!B56")),B57,"")</f>
        <v>#REF!</v>
      </c>
      <c r="C158" s="1118" t="e">
        <f ca="1">IF(B158&lt;&gt; "", 'Land requirements'!F5-INDIRECT(CONCATENATE("'[", "Baseline.xlsm","]Land requirements'","!E5")), 0)</f>
        <v>#REF!</v>
      </c>
      <c r="D158" s="1118" t="e">
        <f ca="1">IF(C158&lt;&gt;0, 'Land requirements'!F18-INDIRECT(CONCATENATE("'[", "Baseline.xlsm","]Land requirements'","!E18")), 0)</f>
        <v>#REF!</v>
      </c>
      <c r="E158" s="1113" t="e">
        <f ca="1">VLOOKUP(B158,'Feed parameters'!$A$2:$M$113,10,FALSE)</f>
        <v>#REF!</v>
      </c>
      <c r="F158" s="1113" t="e">
        <f ca="1">VLOOKUP(B158,'Feed parameters'!$A$2:$M$113,11,FALSE)</f>
        <v>#REF!</v>
      </c>
      <c r="G158" s="1119" t="e">
        <f ca="1">VLOOKUP(B158,'Feed parameters'!$A$2:$M$113,12,FALSE)</f>
        <v>#REF!</v>
      </c>
      <c r="H158" s="1113" t="e">
        <f ca="1">VLOOKUP(B158,'Feed parameters'!$A$2:$M$113,13,FALSE)</f>
        <v>#REF!</v>
      </c>
      <c r="I158" s="575"/>
      <c r="J158" s="720"/>
      <c r="K158" s="720" t="e">
        <f ca="1">C158*F158+C158*H158*Economics_Parameters!$C$12</f>
        <v>#REF!</v>
      </c>
      <c r="L158" s="361"/>
      <c r="M158" s="361"/>
      <c r="N158" s="361"/>
      <c r="O158" s="361"/>
      <c r="P158" s="361"/>
      <c r="Q158" s="361"/>
      <c r="R158" s="361"/>
      <c r="S158" s="361"/>
      <c r="T158" s="361"/>
      <c r="U158" s="361"/>
      <c r="AJ158" s="361"/>
    </row>
    <row r="159" spans="1:59">
      <c r="A159" s="361"/>
      <c r="B159" s="1120" t="e">
        <f ca="1">IF(B58=INDIRECT(CONCATENATE("[", "Baseline.xlsm","]INPUTS","!B57")),B58,"")</f>
        <v>#REF!</v>
      </c>
      <c r="C159" s="1118" t="e">
        <f ca="1">IF(B159&lt;&gt; "", 'Land requirements'!F6-INDIRECT(CONCATENATE("'[", "Baseline.xlsm","]Land requirements'","!E6")), 0)</f>
        <v>#REF!</v>
      </c>
      <c r="D159" s="1118" t="e">
        <f ca="1">IF(C159&lt;&gt;0, 'Land requirements'!F19-INDIRECT(CONCATENATE("'[", "Baseline.xlsm","]Land requirements'","!E19")), 0)</f>
        <v>#REF!</v>
      </c>
      <c r="E159" s="1113" t="e">
        <f ca="1">VLOOKUP(B159,'Feed parameters'!$A$2:$M$113,10,FALSE)</f>
        <v>#REF!</v>
      </c>
      <c r="F159" s="1113" t="e">
        <f ca="1">VLOOKUP(B159,'Feed parameters'!$A$2:$M$113,11,FALSE)</f>
        <v>#REF!</v>
      </c>
      <c r="G159" s="1119" t="e">
        <f ca="1">VLOOKUP(B159,'Feed parameters'!$A$2:$M$113,12,FALSE)</f>
        <v>#REF!</v>
      </c>
      <c r="H159" s="1113" t="e">
        <f ca="1">VLOOKUP(B159,'Feed parameters'!$A$2:$M$113,13,FALSE)</f>
        <v>#REF!</v>
      </c>
      <c r="I159" s="575"/>
      <c r="J159" s="720"/>
      <c r="K159" s="720" t="e">
        <f ca="1">C159*F159+C159*H159*Economics_Parameters!$C$12</f>
        <v>#REF!</v>
      </c>
      <c r="L159" s="361"/>
      <c r="M159" s="361"/>
      <c r="N159" s="361"/>
      <c r="O159" s="361"/>
      <c r="P159" s="361"/>
      <c r="Q159" s="361"/>
      <c r="R159" s="361"/>
      <c r="S159" s="361"/>
      <c r="T159" s="361"/>
      <c r="U159" s="361"/>
    </row>
    <row r="160" spans="1:59">
      <c r="A160" s="361"/>
      <c r="B160" s="1120" t="e">
        <f ca="1">IF(B59=INDIRECT(CONCATENATE("[", "Baseline.xlsm","]INPUTS","!B58")),B59,"")</f>
        <v>#REF!</v>
      </c>
      <c r="C160" s="1118" t="e">
        <f ca="1">IF(B160&lt;&gt; "", 'Land requirements'!F7-INDIRECT(CONCATENATE("'[", "Baseline.xlsm","]Land requirements'","!E7")), 0)</f>
        <v>#REF!</v>
      </c>
      <c r="D160" s="1118" t="e">
        <f ca="1">IF(C160&lt;&gt;0, 'Land requirements'!F20-INDIRECT(CONCATENATE("'[", "Baseline.xlsm","]Land requirements'","!E20")), 0)</f>
        <v>#REF!</v>
      </c>
      <c r="E160" s="1113" t="e">
        <f ca="1">VLOOKUP(B160,'Feed parameters'!$A$2:$M$113,10,FALSE)</f>
        <v>#REF!</v>
      </c>
      <c r="F160" s="1113" t="e">
        <f ca="1">VLOOKUP(B160,'Feed parameters'!$A$2:$M$113,11,FALSE)</f>
        <v>#REF!</v>
      </c>
      <c r="G160" s="1119" t="e">
        <f ca="1">VLOOKUP(B160,'Feed parameters'!$A$2:$M$113,12,FALSE)</f>
        <v>#REF!</v>
      </c>
      <c r="H160" s="1113" t="e">
        <f ca="1">VLOOKUP(B160,'Feed parameters'!$A$2:$M$113,13,FALSE)</f>
        <v>#REF!</v>
      </c>
      <c r="I160" s="575"/>
      <c r="J160" s="720"/>
      <c r="K160" s="720" t="e">
        <f ca="1">C160*F160+C160*H160*Economics_Parameters!$C$12</f>
        <v>#REF!</v>
      </c>
      <c r="L160" s="361"/>
      <c r="M160" s="361"/>
      <c r="N160" s="361"/>
      <c r="O160" s="361"/>
      <c r="P160" s="361"/>
      <c r="Q160" s="361"/>
      <c r="R160" s="361"/>
      <c r="S160" s="361"/>
      <c r="T160" s="361"/>
      <c r="U160" s="361"/>
    </row>
    <row r="161" spans="1:32">
      <c r="A161" s="361"/>
      <c r="B161" s="1120" t="e">
        <f ca="1">IF(B60=INDIRECT(CONCATENATE("[", "Baseline.xlsm","]INPUTS","!B59")),B60,"")</f>
        <v>#REF!</v>
      </c>
      <c r="C161" s="1118" t="e">
        <f ca="1">IF(B161&lt;&gt; "", 'Land requirements'!F8-INDIRECT(CONCATENATE("'[", "Baseline.xlsm","]Land requirements'","!E8")), 0)</f>
        <v>#REF!</v>
      </c>
      <c r="D161" s="1118" t="e">
        <f ca="1">IF(C161&lt;&gt;0, 'Land requirements'!F21-INDIRECT(CONCATENATE("'[", "Baseline.xlsm","]Land requirements'","!E21")), 0)</f>
        <v>#REF!</v>
      </c>
      <c r="E161" s="1113" t="e">
        <f ca="1">VLOOKUP(B161,'Feed parameters'!$A$2:$M$113,10,FALSE)</f>
        <v>#REF!</v>
      </c>
      <c r="F161" s="1113" t="e">
        <f ca="1">VLOOKUP(B161,'Feed parameters'!$A$2:$M$113,11,FALSE)</f>
        <v>#REF!</v>
      </c>
      <c r="G161" s="1119" t="e">
        <f ca="1">VLOOKUP(B161,'Feed parameters'!$A$2:$M$113,12,FALSE)</f>
        <v>#REF!</v>
      </c>
      <c r="H161" s="1113" t="e">
        <f ca="1">VLOOKUP(B161,'Feed parameters'!$A$2:$M$113,13,FALSE)</f>
        <v>#REF!</v>
      </c>
      <c r="I161" s="575"/>
      <c r="J161" s="720"/>
      <c r="K161" s="720" t="e">
        <f ca="1">C161*F161+C161*H161*Economics_Parameters!$C$12</f>
        <v>#REF!</v>
      </c>
      <c r="L161" s="361"/>
      <c r="M161" s="361"/>
      <c r="N161" s="361"/>
      <c r="O161" s="361"/>
      <c r="P161" s="361"/>
      <c r="Q161" s="361"/>
      <c r="R161" s="361"/>
      <c r="S161" s="361"/>
      <c r="T161" s="361"/>
      <c r="U161" s="361"/>
    </row>
    <row r="162" spans="1:32" ht="31.5" customHeight="1">
      <c r="A162" s="361"/>
      <c r="B162" s="1120" t="e">
        <f ca="1">IF(B61=INDIRECT(CONCATENATE("[", "Baseline.xlsm","]INPUTS","!B60")),B61,"")</f>
        <v>#REF!</v>
      </c>
      <c r="C162" s="1118" t="e">
        <f ca="1">IF(B162&lt;&gt; "", 'Land requirements'!F9-INDIRECT(CONCATENATE("'[", "Baseline.xlsm","]Land requirements'","!E9")), 0)</f>
        <v>#REF!</v>
      </c>
      <c r="D162" s="1118" t="e">
        <f ca="1">IF(C162&lt;&gt;0, 'Land requirements'!F22-INDIRECT(CONCATENATE("'[", "Baseline.xlsm","]Land requirements'","!E22")), 0)</f>
        <v>#REF!</v>
      </c>
      <c r="E162" s="1113" t="e">
        <f ca="1">VLOOKUP(B162,'Feed parameters'!$A$2:$M$113,10,FALSE)</f>
        <v>#REF!</v>
      </c>
      <c r="F162" s="1113" t="e">
        <f ca="1">VLOOKUP(B162,'Feed parameters'!$A$2:$M$113,11,FALSE)</f>
        <v>#REF!</v>
      </c>
      <c r="G162" s="1119" t="e">
        <f ca="1">VLOOKUP(B162,'Feed parameters'!$A$2:$M$113,12,FALSE)</f>
        <v>#REF!</v>
      </c>
      <c r="H162" s="1113" t="e">
        <f ca="1">VLOOKUP(B162,'Feed parameters'!$A$2:$M$113,13,FALSE)</f>
        <v>#REF!</v>
      </c>
      <c r="I162" s="575"/>
      <c r="J162" s="720"/>
      <c r="K162" s="720" t="e">
        <f ca="1">C162*F162+C162*H162*Economics_Parameters!$C$12</f>
        <v>#REF!</v>
      </c>
      <c r="L162" s="361"/>
      <c r="M162" s="361"/>
      <c r="N162" s="361"/>
      <c r="O162" s="361"/>
      <c r="P162" s="361"/>
      <c r="Q162" s="361"/>
      <c r="R162" s="361"/>
      <c r="S162" s="361"/>
      <c r="T162" s="361"/>
      <c r="U162" s="361"/>
    </row>
    <row r="163" spans="1:32" ht="16.5" thickBot="1">
      <c r="A163" s="361"/>
      <c r="B163" s="1121" t="e">
        <f ca="1">IF(B62=INDIRECT(CONCATENATE("[", "Baseline.xlsm","]INPUTS","!B61")),B62,"")</f>
        <v>#REF!</v>
      </c>
      <c r="C163" s="1118" t="e">
        <f ca="1">IF(B163&lt;&gt; "", 'Land requirements'!F10-INDIRECT(CONCATENATE("'[", "Baseline.xlsm","]Land requirements'","!E10")), 0)</f>
        <v>#REF!</v>
      </c>
      <c r="D163" s="1122" t="e">
        <f ca="1">IF(C163&lt;&gt;0, 'Land requirements'!F23-INDIRECT(CONCATENATE("'[", "Baseline.xlsm","]Land requirements'","!E23")), 0)</f>
        <v>#REF!</v>
      </c>
      <c r="E163" s="1123" t="e">
        <f ca="1">VLOOKUP(B163,'Feed parameters'!$A$2:$M$113,10,FALSE)</f>
        <v>#REF!</v>
      </c>
      <c r="F163" s="1123" t="e">
        <f ca="1">VLOOKUP(B163,'Feed parameters'!$A$2:$M$113,11,FALSE)</f>
        <v>#REF!</v>
      </c>
      <c r="G163" s="1124" t="e">
        <f ca="1">VLOOKUP(B163,'Feed parameters'!$A$2:$M$113,12,FALSE)</f>
        <v>#REF!</v>
      </c>
      <c r="H163" s="1123" t="e">
        <f ca="1">VLOOKUP(B163,'Feed parameters'!$A$2:$M$113,13,FALSE)</f>
        <v>#REF!</v>
      </c>
      <c r="I163" s="604"/>
      <c r="J163" s="720"/>
      <c r="K163" s="720" t="e">
        <f ca="1">C163*F163+C163*H163*Economics_Parameters!$C$12</f>
        <v>#REF!</v>
      </c>
      <c r="L163" s="361"/>
      <c r="M163" s="361"/>
      <c r="N163" s="361"/>
      <c r="O163" s="361"/>
      <c r="P163" s="361"/>
      <c r="Q163" s="361"/>
      <c r="R163" s="361"/>
      <c r="S163" s="361"/>
      <c r="T163" s="361"/>
      <c r="U163" s="361"/>
    </row>
    <row r="164" spans="1:32">
      <c r="C164" s="574"/>
    </row>
    <row r="165" spans="1:32" ht="16.5" thickBot="1">
      <c r="C165" s="573"/>
      <c r="K165" s="360" t="e">
        <f ca="1">SUM(K140:K163)</f>
        <v>#REF!</v>
      </c>
    </row>
    <row r="166" spans="1:32" ht="31.5">
      <c r="B166" s="1129" t="s">
        <v>1204</v>
      </c>
      <c r="C166" s="1130" t="s">
        <v>1229</v>
      </c>
      <c r="D166" s="1131" t="s">
        <v>1342</v>
      </c>
      <c r="E166" s="1110" t="s">
        <v>1488</v>
      </c>
      <c r="F166" s="1110" t="s">
        <v>1199</v>
      </c>
      <c r="G166" s="1111" t="s">
        <v>1256</v>
      </c>
      <c r="H166" s="1111" t="s">
        <v>1257</v>
      </c>
      <c r="I166" s="515" t="s">
        <v>1183</v>
      </c>
    </row>
    <row r="167" spans="1:32">
      <c r="B167" s="1132" t="e">
        <f t="shared" ref="B167:B173" ca="1" si="25">IF(B157="", B56, "")</f>
        <v>#REF!</v>
      </c>
      <c r="C167" s="1133" t="e">
        <f ca="1">IF(B167&lt;&gt; "", 'Land requirements'!F4, 0)</f>
        <v>#REF!</v>
      </c>
      <c r="D167" s="1133" t="e">
        <f ca="1">IF(B167&lt;&gt; "", 'Land requirements'!F17, 0)</f>
        <v>#REF!</v>
      </c>
      <c r="E167" s="1113">
        <f ca="1">IFERROR(VLOOKUP(B167,'Feed parameters'!$A$2:$M$113,10,FALSE),0)</f>
        <v>0</v>
      </c>
      <c r="F167" s="1113">
        <f ca="1">IFERROR(VLOOKUP(B167,'Feed parameters'!$A$2:$M$113,11,FALSE),0)</f>
        <v>0</v>
      </c>
      <c r="G167" s="1113">
        <f ca="1">IFERROR(VLOOKUP(B167,'Feed parameters'!$A$2:$M$113,12,FALSE),0)</f>
        <v>0</v>
      </c>
      <c r="H167" s="1114">
        <f ca="1">IFERROR(VLOOKUP(B167,'Feed parameters'!$A$2:$M$113,13,FALSE),0)</f>
        <v>0</v>
      </c>
      <c r="I167" s="575"/>
    </row>
    <row r="168" spans="1:32">
      <c r="B168" s="1112" t="e">
        <f t="shared" ca="1" si="25"/>
        <v>#REF!</v>
      </c>
      <c r="C168" s="1133" t="e">
        <f ca="1">IF(B168&lt;&gt; "", 'Land requirements'!F5, 0)</f>
        <v>#REF!</v>
      </c>
      <c r="D168" s="1133" t="e">
        <f ca="1">IF(B168&lt;&gt; "", 'Land requirements'!F18, 0)</f>
        <v>#REF!</v>
      </c>
      <c r="E168" s="1113">
        <f ca="1">IFERROR(VLOOKUP(B168,'Feed parameters'!$A$2:$M$113,10,FALSE),0)</f>
        <v>0</v>
      </c>
      <c r="F168" s="1113">
        <f ca="1">IFERROR(VLOOKUP(B168,'Feed parameters'!$A$2:$M$113,11,FALSE),0)</f>
        <v>0</v>
      </c>
      <c r="G168" s="1113">
        <f ca="1">IFERROR(VLOOKUP(B168,'Feed parameters'!$A$2:$M$113,12,FALSE),0)</f>
        <v>0</v>
      </c>
      <c r="H168" s="1114">
        <f ca="1">IFERROR(VLOOKUP(B168,'Feed parameters'!$A$2:$M$113,13,FALSE),0)</f>
        <v>0</v>
      </c>
      <c r="I168" s="575"/>
    </row>
    <row r="169" spans="1:32">
      <c r="B169" s="1112" t="e">
        <f t="shared" ca="1" si="25"/>
        <v>#REF!</v>
      </c>
      <c r="C169" s="1133" t="e">
        <f ca="1">IF(B169&lt;&gt; "", 'Land requirements'!F6, 0)</f>
        <v>#REF!</v>
      </c>
      <c r="D169" s="1133" t="e">
        <f ca="1">IF(B169&lt;&gt; "", 'Land requirements'!F19, 0)</f>
        <v>#REF!</v>
      </c>
      <c r="E169" s="1113">
        <f ca="1">IFERROR(VLOOKUP(B169,'Feed parameters'!$A$2:$M$113,10,FALSE),0)</f>
        <v>0</v>
      </c>
      <c r="F169" s="1113">
        <f ca="1">IFERROR(VLOOKUP(B169,'Feed parameters'!$A$2:$M$113,11,FALSE),0)</f>
        <v>0</v>
      </c>
      <c r="G169" s="1113">
        <f ca="1">IFERROR(VLOOKUP(B169,'Feed parameters'!$A$2:$M$113,12,FALSE),0)</f>
        <v>0</v>
      </c>
      <c r="H169" s="1114">
        <f ca="1">IFERROR(VLOOKUP(B169,'Feed parameters'!$A$2:$M$113,13,FALSE),0)</f>
        <v>0</v>
      </c>
      <c r="I169" s="575"/>
      <c r="AE169" s="361"/>
      <c r="AF169" s="361"/>
    </row>
    <row r="170" spans="1:32">
      <c r="B170" s="1112" t="e">
        <f t="shared" ca="1" si="25"/>
        <v>#REF!</v>
      </c>
      <c r="C170" s="1133" t="e">
        <f ca="1">IF(B170&lt;&gt; "", 'Land requirements'!F7, 0)</f>
        <v>#REF!</v>
      </c>
      <c r="D170" s="1133" t="e">
        <f ca="1">IF(B170&lt;&gt; "", 'Land requirements'!F20, 0)</f>
        <v>#REF!</v>
      </c>
      <c r="E170" s="1113">
        <f ca="1">IFERROR(VLOOKUP(B170,'Feed parameters'!$A$2:$M$113,10,FALSE),0)</f>
        <v>0</v>
      </c>
      <c r="F170" s="1113">
        <f ca="1">IFERROR(VLOOKUP(B170,'Feed parameters'!$A$2:$M$113,11,FALSE),0)</f>
        <v>0</v>
      </c>
      <c r="G170" s="1113">
        <f ca="1">IFERROR(VLOOKUP(B170,'Feed parameters'!$A$2:$M$113,12,FALSE),0)</f>
        <v>0</v>
      </c>
      <c r="H170" s="1114">
        <f ca="1">IFERROR(VLOOKUP(B170,'Feed parameters'!$A$2:$M$113,13,FALSE),0)</f>
        <v>0</v>
      </c>
      <c r="I170" s="575"/>
      <c r="AE170" s="361"/>
      <c r="AF170" s="361"/>
    </row>
    <row r="171" spans="1:32">
      <c r="B171" s="1112" t="e">
        <f t="shared" ca="1" si="25"/>
        <v>#REF!</v>
      </c>
      <c r="C171" s="1133" t="e">
        <f ca="1">IF(B171&lt;&gt; "", 'Land requirements'!F8, 0)</f>
        <v>#REF!</v>
      </c>
      <c r="D171" s="1133" t="e">
        <f ca="1">IF(B171&lt;&gt; "", 'Land requirements'!F21, 0)</f>
        <v>#REF!</v>
      </c>
      <c r="E171" s="1113">
        <f ca="1">IFERROR(VLOOKUP(B171,'Feed parameters'!$A$2:$M$113,10,FALSE),0)</f>
        <v>0</v>
      </c>
      <c r="F171" s="1113">
        <f ca="1">IFERROR(VLOOKUP(B171,'Feed parameters'!$A$2:$M$113,11,FALSE),0)</f>
        <v>0</v>
      </c>
      <c r="G171" s="1113">
        <f ca="1">IFERROR(VLOOKUP(B171,'Feed parameters'!$A$2:$M$113,12,FALSE),0)</f>
        <v>0</v>
      </c>
      <c r="H171" s="1114">
        <f ca="1">IFERROR(VLOOKUP(B171,'Feed parameters'!$A$2:$M$113,13,FALSE),0)</f>
        <v>0</v>
      </c>
      <c r="I171" s="575"/>
      <c r="AE171" s="361"/>
      <c r="AF171" s="361"/>
    </row>
    <row r="172" spans="1:32">
      <c r="B172" s="1112" t="e">
        <f t="shared" ca="1" si="25"/>
        <v>#REF!</v>
      </c>
      <c r="C172" s="1133" t="e">
        <f ca="1">IF(B172&lt;&gt; "", 'Land requirements'!F9, 0)</f>
        <v>#REF!</v>
      </c>
      <c r="D172" s="1133" t="e">
        <f ca="1">IF(B172&lt;&gt; "", 'Land requirements'!F22, 0)</f>
        <v>#REF!</v>
      </c>
      <c r="E172" s="1113">
        <f ca="1">IFERROR(VLOOKUP(B172,'Feed parameters'!$A$2:$M$113,10,FALSE),0)</f>
        <v>0</v>
      </c>
      <c r="F172" s="1113">
        <f ca="1">IFERROR(VLOOKUP(B172,'Feed parameters'!$A$2:$M$113,11,FALSE),0)</f>
        <v>0</v>
      </c>
      <c r="G172" s="1113">
        <f ca="1">IFERROR(VLOOKUP(B172,'Feed parameters'!$A$2:$M$113,12,FALSE),0)</f>
        <v>0</v>
      </c>
      <c r="H172" s="1114">
        <f ca="1">IFERROR(VLOOKUP(B172,'Feed parameters'!$A$2:$M$113,13,FALSE),0)</f>
        <v>0</v>
      </c>
      <c r="I172" s="575"/>
      <c r="AD172" s="361"/>
      <c r="AE172" s="361"/>
      <c r="AF172" s="361"/>
    </row>
    <row r="173" spans="1:32" ht="16.5" thickBot="1">
      <c r="B173" s="1134" t="e">
        <f t="shared" ca="1" si="25"/>
        <v>#REF!</v>
      </c>
      <c r="C173" s="1135" t="e">
        <f ca="1">IF(B173&lt;&gt; "", 'Land requirements'!F10, 0)</f>
        <v>#REF!</v>
      </c>
      <c r="D173" s="1135" t="e">
        <f ca="1">IF(B173&lt;&gt; "", 'Land requirements'!F23, 0)</f>
        <v>#REF!</v>
      </c>
      <c r="E173" s="1123">
        <f ca="1">IFERROR(VLOOKUP(B173,'Feed parameters'!$A$2:$M$113,10,FALSE),0)</f>
        <v>0</v>
      </c>
      <c r="F173" s="1123">
        <f ca="1">IFERROR(VLOOKUP(B173,'Feed parameters'!$A$2:$M$113,11,FALSE),0)</f>
        <v>0</v>
      </c>
      <c r="G173" s="1123">
        <f ca="1">IFERROR(VLOOKUP(B173,'Feed parameters'!$A$2:$M$113,12,FALSE),0)</f>
        <v>0</v>
      </c>
      <c r="H173" s="1136">
        <f ca="1">IFERROR(VLOOKUP(B173,'Feed parameters'!$A$2:$M$113,13,FALSE),0)</f>
        <v>0</v>
      </c>
      <c r="I173" s="604"/>
      <c r="AD173" s="361"/>
      <c r="AE173" s="361"/>
      <c r="AF173" s="361"/>
    </row>
    <row r="174" spans="1:32" ht="16.5" thickBot="1">
      <c r="B174" s="716"/>
      <c r="C174" s="360"/>
      <c r="AD174" s="361"/>
      <c r="AE174" s="361"/>
      <c r="AF174" s="361"/>
    </row>
    <row r="175" spans="1:32" ht="16.5" thickBot="1">
      <c r="B175" s="566" t="s">
        <v>1200</v>
      </c>
      <c r="C175" s="311"/>
      <c r="D175" s="311"/>
      <c r="E175" s="311"/>
      <c r="F175" s="311"/>
      <c r="G175" s="527"/>
      <c r="H175" s="517"/>
      <c r="AC175" s="361"/>
      <c r="AD175" s="361"/>
      <c r="AE175" s="361"/>
      <c r="AF175" s="361"/>
    </row>
    <row r="176" spans="1:32" ht="31.5">
      <c r="B176" s="502" t="s">
        <v>1181</v>
      </c>
      <c r="C176" s="554" t="s">
        <v>1230</v>
      </c>
      <c r="D176" s="514" t="s">
        <v>1199</v>
      </c>
      <c r="E176" s="515" t="s">
        <v>1231</v>
      </c>
      <c r="F176" s="719" t="s">
        <v>1232</v>
      </c>
      <c r="G176" s="721" t="s">
        <v>1183</v>
      </c>
      <c r="AC176" s="361"/>
      <c r="AD176" s="361"/>
    </row>
    <row r="177" spans="2:33">
      <c r="B177" s="605" t="s">
        <v>1258</v>
      </c>
      <c r="C177" s="597">
        <v>250</v>
      </c>
      <c r="D177" s="597">
        <v>0</v>
      </c>
      <c r="E177" s="597">
        <v>5</v>
      </c>
      <c r="F177" s="717">
        <v>1</v>
      </c>
      <c r="G177" s="722"/>
      <c r="AC177" s="361"/>
      <c r="AD177" s="361"/>
    </row>
    <row r="178" spans="2:33">
      <c r="B178" s="605"/>
      <c r="C178" s="597"/>
      <c r="D178" s="597"/>
      <c r="E178" s="597"/>
      <c r="F178" s="717"/>
      <c r="G178" s="722"/>
      <c r="AB178" s="361"/>
      <c r="AC178" s="361"/>
      <c r="AD178" s="361"/>
    </row>
    <row r="179" spans="2:33" ht="16.5" thickBot="1">
      <c r="B179" s="606"/>
      <c r="C179" s="603"/>
      <c r="D179" s="603"/>
      <c r="E179" s="603"/>
      <c r="F179" s="718"/>
      <c r="G179" s="723"/>
      <c r="AB179" s="361"/>
      <c r="AC179" s="361"/>
    </row>
    <row r="180" spans="2:33">
      <c r="B180" s="368"/>
      <c r="AB180" s="361"/>
      <c r="AC180" s="361"/>
    </row>
    <row r="181" spans="2:33">
      <c r="H181" s="72"/>
      <c r="I181" s="72"/>
      <c r="J181" s="72"/>
      <c r="AA181" s="361"/>
      <c r="AB181" s="361"/>
      <c r="AC181" s="361"/>
    </row>
    <row r="182" spans="2:33">
      <c r="B182" s="709" t="s">
        <v>1452</v>
      </c>
      <c r="C182" s="1137">
        <f>SUMMARY!$D$16</f>
        <v>-103.54724277392351</v>
      </c>
      <c r="H182" s="72"/>
      <c r="I182" s="72"/>
      <c r="J182" s="72"/>
      <c r="AA182" s="361"/>
      <c r="AB182" s="361"/>
    </row>
    <row r="183" spans="2:33">
      <c r="B183" s="72" t="s">
        <v>1453</v>
      </c>
      <c r="C183" s="1138">
        <f>SUMMARY!$G$16</f>
        <v>-58.692366608199748</v>
      </c>
      <c r="AA183" s="361"/>
      <c r="AB183" s="361"/>
    </row>
    <row r="184" spans="2:33">
      <c r="B184" s="72" t="s">
        <v>1350</v>
      </c>
      <c r="C184" s="1139">
        <f>'Soil impacts'!$C$2</f>
        <v>0.45465584571375822</v>
      </c>
      <c r="V184" s="361"/>
      <c r="Z184" s="361"/>
      <c r="AA184" s="361"/>
      <c r="AB184" s="361"/>
    </row>
    <row r="185" spans="2:33">
      <c r="B185" s="72" t="s">
        <v>1351</v>
      </c>
      <c r="C185" s="1139">
        <f>'Soil impacts'!$D$2/100</f>
        <v>0</v>
      </c>
      <c r="V185" s="361"/>
      <c r="W185" s="361"/>
      <c r="Z185" s="361"/>
      <c r="AA185" s="361"/>
    </row>
    <row r="186" spans="2:33">
      <c r="B186" s="72" t="s">
        <v>1477</v>
      </c>
      <c r="C186" s="1138">
        <f>SUMMARY!$D$21</f>
        <v>14.284277892271302</v>
      </c>
      <c r="U186" s="361"/>
      <c r="V186" s="361"/>
      <c r="W186" s="361"/>
      <c r="X186" s="361"/>
      <c r="Z186" s="361"/>
      <c r="AA186" s="361"/>
      <c r="AG186" s="361"/>
    </row>
    <row r="187" spans="2:33">
      <c r="B187" s="72" t="s">
        <v>1460</v>
      </c>
      <c r="C187" s="1138">
        <f>SUMMARY!$D$6</f>
        <v>1.7642369656884345</v>
      </c>
      <c r="U187" s="361"/>
      <c r="V187" s="361"/>
      <c r="W187" s="361"/>
      <c r="X187" s="361"/>
      <c r="Y187" s="361"/>
      <c r="Z187" s="361"/>
      <c r="AA187" s="361"/>
      <c r="AG187" s="361"/>
    </row>
    <row r="188" spans="2:33">
      <c r="B188" s="72" t="s">
        <v>1461</v>
      </c>
      <c r="C188" s="1138">
        <f>SUMMARY!$D$9</f>
        <v>3028.6500000000005</v>
      </c>
      <c r="T188" s="361"/>
      <c r="U188" s="361"/>
      <c r="V188" s="361"/>
      <c r="W188" s="361"/>
      <c r="X188" s="361"/>
      <c r="Y188" s="361"/>
      <c r="Z188" s="361"/>
      <c r="AG188" s="361"/>
    </row>
    <row r="189" spans="2:33">
      <c r="B189" s="72" t="s">
        <v>1462</v>
      </c>
      <c r="C189" s="1138">
        <f>SUMMARY!$D$11</f>
        <v>271.44</v>
      </c>
      <c r="T189" s="361"/>
      <c r="U189" s="361"/>
      <c r="V189" s="361"/>
      <c r="W189" s="361"/>
      <c r="X189" s="361"/>
      <c r="Y189" s="361"/>
      <c r="Z189" s="361"/>
      <c r="AG189" s="361"/>
    </row>
    <row r="190" spans="2:33">
      <c r="B190" s="72" t="s">
        <v>1463</v>
      </c>
      <c r="C190" s="1138">
        <f>SUMMARY!$D$13</f>
        <v>167.49120000000002</v>
      </c>
      <c r="T190" s="361"/>
      <c r="U190" s="361"/>
      <c r="V190" s="361"/>
      <c r="W190" s="361"/>
      <c r="X190" s="361"/>
      <c r="Y190" s="361"/>
      <c r="Z190" s="361"/>
      <c r="AG190" s="361"/>
    </row>
    <row r="191" spans="2:33">
      <c r="B191" s="72" t="s">
        <v>1454</v>
      </c>
      <c r="C191" s="1138">
        <f>SUMMARY!$D$24</f>
        <v>6.0731051870829278</v>
      </c>
      <c r="T191" s="361"/>
      <c r="U191" s="361"/>
      <c r="W191" s="361"/>
      <c r="X191" s="361"/>
      <c r="Y191" s="361"/>
      <c r="AG191" s="361"/>
    </row>
    <row r="192" spans="2:33">
      <c r="B192" s="72" t="s">
        <v>1455</v>
      </c>
      <c r="C192" s="1138">
        <f>SUMMARY!J24</f>
        <v>2.0052185584610061</v>
      </c>
      <c r="T192" s="361"/>
      <c r="U192" s="361"/>
      <c r="X192" s="361"/>
      <c r="Y192" s="361"/>
      <c r="AG192" s="361"/>
    </row>
    <row r="193" spans="2:25">
      <c r="B193" s="72" t="s">
        <v>1456</v>
      </c>
      <c r="C193" s="1138">
        <f>SUMMARY!J25</f>
        <v>22.373656008999884</v>
      </c>
      <c r="T193" s="361"/>
      <c r="Y193" s="361"/>
    </row>
    <row r="194" spans="2:25">
      <c r="B194" s="72" t="s">
        <v>1457</v>
      </c>
      <c r="C194" s="1138">
        <f>SUMMARY!J26</f>
        <v>36.259249364043768</v>
      </c>
      <c r="T194" s="361"/>
    </row>
    <row r="195" spans="2:25">
      <c r="B195" s="72" t="s">
        <v>1467</v>
      </c>
      <c r="C195" s="1138">
        <f>SUMMARY!G24</f>
        <v>3.4423409696061444</v>
      </c>
    </row>
    <row r="196" spans="2:25">
      <c r="B196" s="72" t="s">
        <v>1765</v>
      </c>
      <c r="C196" s="1138">
        <f>SUMMARY!$G$30</f>
        <v>1.3137010555388227</v>
      </c>
    </row>
    <row r="197" spans="2:25">
      <c r="B197" s="72" t="s">
        <v>1464</v>
      </c>
      <c r="C197" s="1138">
        <f>SUMMARY!$J$29</f>
        <v>0.57933986732324905</v>
      </c>
    </row>
    <row r="198" spans="2:25">
      <c r="B198" s="72" t="s">
        <v>1465</v>
      </c>
      <c r="C198" s="1138">
        <f>'Water Impacts'!B6</f>
        <v>6.464108787093128</v>
      </c>
    </row>
    <row r="199" spans="2:25">
      <c r="B199" s="72" t="s">
        <v>1489</v>
      </c>
      <c r="C199" s="1138">
        <f>'Water Impacts'!B7</f>
        <v>10.475879862157285</v>
      </c>
    </row>
    <row r="200" spans="2:25">
      <c r="B200" s="72" t="s">
        <v>1468</v>
      </c>
      <c r="C200" s="1138">
        <f>SUMMARY!$G$27</f>
        <v>994.54762783744172</v>
      </c>
    </row>
    <row r="201" spans="2:25">
      <c r="B201" s="72" t="s">
        <v>1466</v>
      </c>
      <c r="C201" s="1138">
        <f>Productivity!B10/SUMMARY!D6</f>
        <v>3.7001832106225407</v>
      </c>
    </row>
    <row r="202" spans="2:25">
      <c r="B202" s="313" t="s">
        <v>1683</v>
      </c>
      <c r="C202" s="1138">
        <f>SUMMARY!D44</f>
        <v>1908.2565038563275</v>
      </c>
    </row>
    <row r="203" spans="2:25">
      <c r="B203" s="313" t="s">
        <v>1684</v>
      </c>
      <c r="C203" s="1138" t="e">
        <f ca="1">SUMMARY!D45</f>
        <v>#REF!</v>
      </c>
    </row>
    <row r="204" spans="2:25">
      <c r="B204" s="313" t="s">
        <v>1685</v>
      </c>
      <c r="C204" s="1138" t="e">
        <f ca="1">C202-C203</f>
        <v>#REF!</v>
      </c>
    </row>
    <row r="205" spans="2:25">
      <c r="B205" s="72" t="str">
        <f>'Land requirements'!A4</f>
        <v>Concentrate (commercial)</v>
      </c>
      <c r="C205" s="1138">
        <f>'Land requirements'!F4</f>
        <v>0</v>
      </c>
    </row>
    <row r="206" spans="2:25">
      <c r="B206" s="72" t="str">
        <f>'Land requirements'!A5</f>
        <v>Pennisetum purpureum - forage</v>
      </c>
      <c r="C206" s="1138">
        <f>'Land requirements'!F5</f>
        <v>3.0544411906916535E-2</v>
      </c>
    </row>
    <row r="207" spans="2:25">
      <c r="B207" s="72" t="str">
        <f>'Land requirements'!A6</f>
        <v>Rhodes grass (Chloris gayana) - forage</v>
      </c>
      <c r="C207" s="1138">
        <f>'Land requirements'!F6</f>
        <v>0.20199547275614554</v>
      </c>
    </row>
    <row r="208" spans="2:25">
      <c r="B208" s="72" t="str">
        <f>'Land requirements'!A7</f>
        <v>Guatemala (Tripsacum andersonii) - forage</v>
      </c>
      <c r="C208" s="1138">
        <f>'Land requirements'!F7</f>
        <v>6.7917828725135729E-2</v>
      </c>
    </row>
    <row r="209" spans="2:3">
      <c r="B209" s="72" t="str">
        <f>'Land requirements'!A8</f>
        <v>Maize (Zea mays) - stover</v>
      </c>
      <c r="C209" s="1138">
        <f>'Land requirements'!F8</f>
        <v>0.96211631601388448</v>
      </c>
    </row>
    <row r="210" spans="2:3">
      <c r="B210" s="72" t="str">
        <f>'Land requirements'!A9</f>
        <v xml:space="preserve">Naturally occuring pasture - green fodder </v>
      </c>
      <c r="C210" s="1138">
        <f>'Land requirements'!F9</f>
        <v>0.50166293628635195</v>
      </c>
    </row>
    <row r="211" spans="2:3">
      <c r="B211" s="72" t="str">
        <f>'Land requirements'!A10</f>
        <v>N/A</v>
      </c>
      <c r="C211" s="1138">
        <f>'Land requirements'!F10</f>
        <v>0</v>
      </c>
    </row>
    <row r="212" spans="2:3">
      <c r="B212" s="72" t="str">
        <f>INPUTS!C17</f>
        <v>Cows (improved)</v>
      </c>
      <c r="C212" s="1138">
        <f>INPUTS!D17</f>
        <v>2</v>
      </c>
    </row>
    <row r="213" spans="2:3">
      <c r="B213" s="72" t="str">
        <f>INPUTS!C18</f>
        <v>Steers/heifers</v>
      </c>
      <c r="C213" s="1138">
        <f>INPUTS!D18</f>
        <v>3</v>
      </c>
    </row>
    <row r="214" spans="2:3">
      <c r="C214" s="720"/>
    </row>
    <row r="215" spans="2:3">
      <c r="C215" s="720"/>
    </row>
    <row r="216" spans="2:3">
      <c r="C216" s="720"/>
    </row>
    <row r="217" spans="2:3">
      <c r="C217" s="720"/>
    </row>
    <row r="218" spans="2:3">
      <c r="C218" s="720"/>
    </row>
    <row r="219" spans="2:3">
      <c r="C219" s="720"/>
    </row>
    <row r="220" spans="2:3">
      <c r="C220" s="720"/>
    </row>
    <row r="221" spans="2:3">
      <c r="C221" s="720"/>
    </row>
    <row r="222" spans="2:3">
      <c r="C222" s="720"/>
    </row>
    <row r="223" spans="2:3">
      <c r="C223" s="720"/>
    </row>
    <row r="224" spans="2:3">
      <c r="C224" s="720"/>
    </row>
    <row r="225" spans="3:3">
      <c r="C225" s="720"/>
    </row>
    <row r="226" spans="3:3">
      <c r="C226" s="720"/>
    </row>
    <row r="227" spans="3:3">
      <c r="C227" s="720"/>
    </row>
    <row r="228" spans="3:3">
      <c r="C228" s="720"/>
    </row>
    <row r="229" spans="3:3">
      <c r="C229" s="720"/>
    </row>
    <row r="230" spans="3:3">
      <c r="C230" s="720"/>
    </row>
    <row r="231" spans="3:3">
      <c r="C231" s="720"/>
    </row>
    <row r="232" spans="3:3">
      <c r="C232" s="720"/>
    </row>
    <row r="233" spans="3:3">
      <c r="C233" s="720"/>
    </row>
    <row r="234" spans="3:3">
      <c r="C234" s="720"/>
    </row>
    <row r="235" spans="3:3">
      <c r="C235" s="720"/>
    </row>
    <row r="236" spans="3:3">
      <c r="C236" s="720"/>
    </row>
    <row r="237" spans="3:3">
      <c r="C237" s="720"/>
    </row>
    <row r="238" spans="3:3">
      <c r="C238" s="720"/>
    </row>
    <row r="239" spans="3:3">
      <c r="C239" s="720"/>
    </row>
    <row r="240" spans="3:3">
      <c r="C240" s="720"/>
    </row>
  </sheetData>
  <mergeCells count="8">
    <mergeCell ref="B5:B7"/>
    <mergeCell ref="B16:B25"/>
    <mergeCell ref="B32:B35"/>
    <mergeCell ref="B108:B114"/>
    <mergeCell ref="B68:B90"/>
    <mergeCell ref="B92:B99"/>
    <mergeCell ref="B45:B49"/>
    <mergeCell ref="B37:B42"/>
  </mergeCells>
  <phoneticPr fontId="42" type="noConversion"/>
  <dataValidations count="13">
    <dataValidation allowBlank="1" showInputMessage="1" showErrorMessage="1" promptTitle="Crop" sqref="D69:D75"/>
    <dataValidation type="list" allowBlank="1" showInputMessage="1" showErrorMessage="1" sqref="I69:I75 M76:M81 G76:G81 AA64:AA68">
      <formula1>Land_cover_erosion</formula1>
    </dataValidation>
    <dataValidation type="list" allowBlank="1" showInputMessage="1" showErrorMessage="1" sqref="J69:J75 N76:N81 H76:H81 AB64:AB66">
      <formula1>Slope</formula1>
    </dataValidation>
    <dataValidation type="list" allowBlank="1" showInputMessage="1" showErrorMessage="1" sqref="K69:K75 O76:O81 I76:I81">
      <formula1>Slope_length</formula1>
    </dataValidation>
    <dataValidation type="whole" allowBlank="1" showInputMessage="1" showErrorMessage="1" sqref="F69:F75">
      <formula1>0</formula1>
      <formula2>1</formula2>
    </dataValidation>
    <dataValidation type="decimal" allowBlank="1" showInputMessage="1" showErrorMessage="1" sqref="G69:H75">
      <formula1>0</formula1>
      <formula2>1</formula2>
    </dataValidation>
    <dataValidation type="list" allowBlank="1" showInputMessage="1" showErrorMessage="1" sqref="E111">
      <formula1>RiceEcosystem</formula1>
    </dataValidation>
    <dataValidation type="list" allowBlank="1" showInputMessage="1" showErrorMessage="1" sqref="E112">
      <formula1>wateregime</formula1>
    </dataValidation>
    <dataValidation type="list" allowBlank="1" showInputMessage="1" showErrorMessage="1" sqref="E113">
      <formula1>OrganicAmendment</formula1>
    </dataValidation>
    <dataValidation type="list" allowBlank="1" showInputMessage="1" showErrorMessage="1" promptTitle="Crop" sqref="D76:D81">
      <formula1>$A$1:$A$63</formula1>
    </dataValidation>
    <dataValidation type="decimal" allowBlank="1" showInputMessage="1" showErrorMessage="1" errorTitle="Wrong value put in" error="Value should be between 0.0 - 1 e.g 0.4 to mean 40%" sqref="H17:J30">
      <formula1>0</formula1>
      <formula2>1</formula2>
    </dataValidation>
    <dataValidation type="decimal" allowBlank="1" showInputMessage="1" showErrorMessage="1" errorTitle="Wrong INPUT Value" error="Value should be between 0.0 - 1 e.g 0.4 to mean 40%" sqref="K17:O30">
      <formula1>0</formula1>
      <formula2>1</formula2>
    </dataValidation>
    <dataValidation type="whole" allowBlank="1" showInputMessage="1" showErrorMessage="1" errorTitle="Wrong INPUT value" error="Value should be between 0.0 - 1 e.g 0.4 to mean 40%" sqref="Q17:Q30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103</xdr:row>
                <xdr:rowOff>95250</xdr:rowOff>
              </from>
              <to>
                <xdr:col>6</xdr:col>
                <xdr:colOff>800100</xdr:colOff>
                <xdr:row>107</xdr:row>
                <xdr:rowOff>171450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I69:I75 G76:G81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F111:I113</xm:sqref>
        </x14:dataValidation>
        <x14:dataValidation type="list" allowBlank="1" showInputMessage="1" showErrorMessage="1">
          <x14:formula1>
            <xm:f>'Crop parameters'!$A$45:$A$47</xm:f>
          </x14:formula1>
          <xm:sqref>E69:E75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K76:K81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Parameters'!$A$166:$A$168</xm:f>
          </x14:formula1>
          <xm:sqref>D33:D35</xm:sqref>
        </x14:dataValidation>
        <x14:dataValidation type="list" allowBlank="1" showInputMessage="1" showErrorMessage="1">
          <x14:formula1>
            <xm:f>'Feed parameters'!$A$3:$A$114</xm:f>
          </x14:formula1>
          <xm:sqref>B56:B62</xm:sqref>
        </x14:dataValidation>
        <x14:dataValidation type="list" allowBlank="1" showInputMessage="1" showErrorMessage="1">
          <x14:formula1>
            <xm:f>'SOC parameters'!$D$44:$D$51</xm:f>
          </x14:formula1>
          <xm:sqref>L69:L75</xm:sqref>
        </x14:dataValidation>
        <x14:dataValidation type="list" allowBlank="1" showInputMessage="1" showErrorMessage="1">
          <x14:formula1>
            <xm:f>'Livestock parameters'!$A$20:$A$35</xm:f>
          </x14:formula1>
          <xm:sqref>C17:C30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L52"/>
  <sheetViews>
    <sheetView zoomScale="80" zoomScaleNormal="80" workbookViewId="0">
      <selection activeCell="H43" sqref="H43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11.5" style="1060" customWidth="1"/>
    <col min="6" max="6" width="9.5" customWidth="1"/>
  </cols>
  <sheetData>
    <row r="1" spans="1:12" s="486" customFormat="1" ht="16.5" thickBot="1"/>
    <row r="2" spans="1:12">
      <c r="A2" s="1472" t="s">
        <v>1128</v>
      </c>
      <c r="B2" s="1473"/>
      <c r="C2" s="1473"/>
      <c r="D2" s="1473"/>
      <c r="E2" s="1473"/>
      <c r="F2" s="1474"/>
      <c r="G2" s="144"/>
      <c r="H2" s="144"/>
      <c r="I2" s="144"/>
      <c r="J2" s="779"/>
      <c r="K2" s="779"/>
      <c r="L2" s="779"/>
    </row>
    <row r="3" spans="1:12">
      <c r="A3" s="1140" t="s">
        <v>1088</v>
      </c>
      <c r="B3" s="1141" t="s">
        <v>1105</v>
      </c>
      <c r="C3" s="1142" t="s">
        <v>1833</v>
      </c>
      <c r="D3" s="1142" t="s">
        <v>819</v>
      </c>
      <c r="E3" s="1143" t="s">
        <v>1835</v>
      </c>
      <c r="F3" s="1144" t="s">
        <v>127</v>
      </c>
      <c r="G3" s="144"/>
      <c r="H3" s="938" t="s">
        <v>1388</v>
      </c>
      <c r="I3" s="939" t="s">
        <v>1387</v>
      </c>
      <c r="J3" s="779"/>
      <c r="K3" s="780" t="s">
        <v>1389</v>
      </c>
      <c r="L3" s="780" t="s">
        <v>1343</v>
      </c>
    </row>
    <row r="4" spans="1:12">
      <c r="A4" s="1145" t="str">
        <f>INPUTS!C69</f>
        <v>Concentrate (commercial)</v>
      </c>
      <c r="B4" s="1146" t="str">
        <f>INPUTS!D69</f>
        <v>Purchased</v>
      </c>
      <c r="C4" s="1147">
        <f>'Land Requirement '!O21</f>
        <v>0</v>
      </c>
      <c r="D4" s="1147">
        <f>'Land Requirement '!P21</f>
        <v>0</v>
      </c>
      <c r="E4" s="1147">
        <f>'Land Requirement '!Q21</f>
        <v>0</v>
      </c>
      <c r="F4" s="1148">
        <f>C4+D4+E4</f>
        <v>0</v>
      </c>
      <c r="G4" s="144"/>
      <c r="H4" s="937">
        <f>IF(VLOOKUP(B4,'Crop parameters'!$A$2:$Z$43,22)="grass",F4,0)</f>
        <v>0</v>
      </c>
      <c r="I4" s="937">
        <f>IF(VLOOKUP(B4,'Crop parameters'!$A$2:$Z$43,22)="tree crop",F4,0)+IF(VLOOKUP(B4,'Crop parameters'!$A$2:$Z$43,22)="tree legume",F4,0)</f>
        <v>0</v>
      </c>
      <c r="J4" s="779"/>
      <c r="K4" s="779" t="str">
        <f t="shared" ref="K4:K10" si="0">IF(VLOOKUP(I4,$I$4:$I$10,1),B4,"")</f>
        <v/>
      </c>
      <c r="L4" s="779" t="str">
        <f t="shared" ref="L4:L10" si="1">IF(VLOOKUP(I4,$I$4:$I$10,1),I4,"")</f>
        <v/>
      </c>
    </row>
    <row r="5" spans="1:12">
      <c r="A5" s="1145" t="str">
        <f>INPUTS!C70</f>
        <v>Pennisetum purpureum - forage</v>
      </c>
      <c r="B5" s="1146" t="str">
        <f>INPUTS!D70</f>
        <v>Pennisetum purpureum</v>
      </c>
      <c r="C5" s="1147">
        <f>'Land Requirement '!AE21</f>
        <v>2.1353912351270335E-2</v>
      </c>
      <c r="D5" s="1147">
        <f>'Land Requirement '!AF21</f>
        <v>9.1904995556462022E-3</v>
      </c>
      <c r="E5" s="1147">
        <f>'Land Requirement '!AG21</f>
        <v>0</v>
      </c>
      <c r="F5" s="1148">
        <f t="shared" ref="F5:F10" si="2">C5+D5+E5</f>
        <v>3.0544411906916535E-2</v>
      </c>
      <c r="G5" s="144"/>
      <c r="H5" s="937">
        <f>IF(VLOOKUP(B5,'Crop parameters'!$A$2:$Z$43,22)="grass",F5,0)</f>
        <v>3.0544411906916535E-2</v>
      </c>
      <c r="I5" s="937">
        <f>IF(VLOOKUP(B5,'Crop parameters'!$A$2:$Z$43,22)="tree crop",F5,0)+IF(VLOOKUP(B5,'Crop parameters'!$A$2:$Z$43,22)="tree legume",F5,0)</f>
        <v>0</v>
      </c>
      <c r="J5" s="779"/>
      <c r="K5" s="779" t="str">
        <f t="shared" si="0"/>
        <v/>
      </c>
      <c r="L5" s="779" t="str">
        <f t="shared" si="1"/>
        <v/>
      </c>
    </row>
    <row r="6" spans="1:12">
      <c r="A6" s="1145" t="str">
        <f>INPUTS!C71</f>
        <v>Rhodes grass (Chloris gayana) - forage</v>
      </c>
      <c r="B6" s="1146" t="str">
        <f>INPUTS!D71</f>
        <v>Rhodes</v>
      </c>
      <c r="C6" s="1147">
        <f>'Land Requirement '!AU21</f>
        <v>0.14281401674252481</v>
      </c>
      <c r="D6" s="1147">
        <f>'Land Requirement '!AV21</f>
        <v>5.9181456013620751E-2</v>
      </c>
      <c r="E6" s="1147">
        <f>'Land Requirement '!AW21</f>
        <v>0</v>
      </c>
      <c r="F6" s="1148">
        <f t="shared" si="2"/>
        <v>0.20199547275614554</v>
      </c>
      <c r="G6" s="144"/>
      <c r="H6" s="937">
        <f>IF(VLOOKUP(B6,'Crop parameters'!$A$2:$Z$43,22)="grass",F6,0)</f>
        <v>0</v>
      </c>
      <c r="I6" s="937">
        <f>IF(VLOOKUP(B6,'Crop parameters'!$A$2:$Z$43,22)="tree crop",F6,0)+IF(VLOOKUP(B6,'Crop parameters'!$A$2:$Z$43,22)="tree legume",F6,0)</f>
        <v>0</v>
      </c>
      <c r="J6" s="779"/>
      <c r="K6" s="779" t="str">
        <f t="shared" si="0"/>
        <v/>
      </c>
      <c r="L6" s="779" t="str">
        <f t="shared" si="1"/>
        <v/>
      </c>
    </row>
    <row r="7" spans="1:12">
      <c r="A7" s="1145" t="str">
        <f>INPUTS!C72</f>
        <v>Guatemala (Tripsacum andersonii) - forage</v>
      </c>
      <c r="B7" s="1146" t="str">
        <f>INPUTS!D72</f>
        <v>Guatemala</v>
      </c>
      <c r="C7" s="1147">
        <f>'Land Requirement '!BK21</f>
        <v>1.1626018946802739E-2</v>
      </c>
      <c r="D7" s="1147">
        <f>'Land Requirement '!BL21</f>
        <v>5.6291809778332993E-2</v>
      </c>
      <c r="E7" s="1147">
        <f>'Land Requirement '!BM21</f>
        <v>0</v>
      </c>
      <c r="F7" s="1148">
        <f t="shared" si="2"/>
        <v>6.7917828725135729E-2</v>
      </c>
      <c r="G7" s="144"/>
      <c r="H7" s="937">
        <f>IF(VLOOKUP(B7,'Crop parameters'!$A$2:$Z$43,22)="grass",F7,0)</f>
        <v>0</v>
      </c>
      <c r="I7" s="937">
        <f>IF(VLOOKUP(B7,'Crop parameters'!$A$2:$Z$43,22)="tree crop",F7,0)+IF(VLOOKUP(B7,'Crop parameters'!$A$2:$Z$43,22)="tree legume",F7,0)</f>
        <v>0</v>
      </c>
      <c r="J7" s="779"/>
      <c r="K7" s="779" t="str">
        <f t="shared" si="0"/>
        <v/>
      </c>
      <c r="L7" s="779" t="str">
        <f t="shared" si="1"/>
        <v/>
      </c>
    </row>
    <row r="8" spans="1:12">
      <c r="A8" s="1145" t="str">
        <f>INPUTS!C73</f>
        <v>Maize (Zea mays) - stover</v>
      </c>
      <c r="B8" s="1146" t="str">
        <f>INPUTS!D73</f>
        <v>Maize</v>
      </c>
      <c r="C8" s="1147">
        <f>'Land Requirement '!CA21</f>
        <v>0.13642488044907855</v>
      </c>
      <c r="D8" s="1147">
        <f>'Land Requirement '!CB21</f>
        <v>0.82569143556480595</v>
      </c>
      <c r="E8" s="1147">
        <f>'Land Requirement '!CC21</f>
        <v>0</v>
      </c>
      <c r="F8" s="1148">
        <f t="shared" si="2"/>
        <v>0.96211631601388448</v>
      </c>
      <c r="G8" s="144"/>
      <c r="H8" s="937">
        <f>IF(VLOOKUP(B8,'Crop parameters'!$A$2:$Z$43,22)="grass",F8,0)</f>
        <v>0.96211631601388448</v>
      </c>
      <c r="I8" s="937">
        <f>IF(VLOOKUP(B8,'Crop parameters'!$A$2:$Z$43,22)="tree crop",F8,0)+IF(VLOOKUP(B8,'Crop parameters'!$A$2:$Z$43,22)="tree legume",F8,0)</f>
        <v>0</v>
      </c>
      <c r="J8" s="779"/>
      <c r="K8" s="779" t="str">
        <f t="shared" si="0"/>
        <v/>
      </c>
      <c r="L8" s="779" t="str">
        <f t="shared" si="1"/>
        <v/>
      </c>
    </row>
    <row r="9" spans="1:12">
      <c r="A9" s="1145" t="str">
        <f>INPUTS!C74</f>
        <v xml:space="preserve">Naturally occuring pasture - green fodder </v>
      </c>
      <c r="B9" s="1146" t="str">
        <f>INPUTS!D74</f>
        <v>Natural pasture</v>
      </c>
      <c r="C9" s="1147">
        <f>'Land Requirement '!CQ21</f>
        <v>0.34637518517370919</v>
      </c>
      <c r="D9" s="1147">
        <f>'Land Requirement '!CR21</f>
        <v>0.15528775111264279</v>
      </c>
      <c r="E9" s="1147">
        <f>'Land Requirement '!CS21</f>
        <v>0</v>
      </c>
      <c r="F9" s="1148">
        <f t="shared" si="2"/>
        <v>0.50166293628635195</v>
      </c>
      <c r="G9" s="144"/>
      <c r="H9" s="937">
        <f>IF(VLOOKUP(B9,'Crop parameters'!$A$2:$Z$43,22)="grass",F9,0)</f>
        <v>0.50166293628635195</v>
      </c>
      <c r="I9" s="937">
        <f>IF(VLOOKUP(B9,'Crop parameters'!$A$2:$Z$43,22)="tree crop",F9,0)+IF(VLOOKUP(B9,'Crop parameters'!$A$2:$Z$43,22)="tree legume",F9,0)</f>
        <v>0</v>
      </c>
      <c r="J9" s="779"/>
      <c r="K9" s="779" t="str">
        <f t="shared" si="0"/>
        <v/>
      </c>
      <c r="L9" s="779" t="str">
        <f t="shared" si="1"/>
        <v/>
      </c>
    </row>
    <row r="10" spans="1:12">
      <c r="A10" s="1145" t="str">
        <f>INPUTS!C75</f>
        <v>N/A</v>
      </c>
      <c r="B10" s="1146" t="str">
        <f>INPUTS!D75</f>
        <v>N/A</v>
      </c>
      <c r="C10" s="1147">
        <f>'Land Requirement '!DG21</f>
        <v>0</v>
      </c>
      <c r="D10" s="1147">
        <f>'Land Requirement '!DH21</f>
        <v>0</v>
      </c>
      <c r="E10" s="1147">
        <f>'Land Requirement '!DI21</f>
        <v>0</v>
      </c>
      <c r="F10" s="1148">
        <f t="shared" si="2"/>
        <v>0</v>
      </c>
      <c r="G10" s="144"/>
      <c r="H10" s="937">
        <f>IF(VLOOKUP(B10,'Crop parameters'!$A$2:$Z$43,22)="grass",F10,0)</f>
        <v>0</v>
      </c>
      <c r="I10" s="937">
        <f>IF(VLOOKUP(B10,'Crop parameters'!$A$2:$Z$43,22)="tree crop",F10,0)+IF(VLOOKUP(B10,'Crop parameters'!$A$2:$Z$43,22)="tree legume",F10,0)</f>
        <v>0</v>
      </c>
      <c r="J10" s="779"/>
      <c r="K10" s="779" t="str">
        <f t="shared" si="0"/>
        <v/>
      </c>
      <c r="L10" s="779" t="str">
        <f t="shared" si="1"/>
        <v/>
      </c>
    </row>
    <row r="11" spans="1:12">
      <c r="A11" s="1145"/>
      <c r="B11" s="1149" t="s">
        <v>1097</v>
      </c>
      <c r="C11" s="1150">
        <f>SUM(C4:C10)</f>
        <v>0.65859401366338566</v>
      </c>
      <c r="D11" s="1150">
        <f t="shared" ref="D11:E11" si="3">SUM(D4:D10)</f>
        <v>1.1056429520250486</v>
      </c>
      <c r="E11" s="1150">
        <f t="shared" si="3"/>
        <v>0</v>
      </c>
      <c r="F11" s="1151">
        <f>SUM(F4:F10)</f>
        <v>1.7642369656884345</v>
      </c>
      <c r="G11" s="144"/>
      <c r="H11" s="937">
        <f>SUM(H4:H10)</f>
        <v>1.4943236642071529</v>
      </c>
      <c r="I11" s="937">
        <f>IF(VLOOKUP(B11,'Crop parameters'!$A$2:$Z$43,22)="tree crop",F11,0)+IF(VLOOKUP(B11,'Crop parameters'!$A$2:$Z$43,22)="tree legume",F11,0)</f>
        <v>0</v>
      </c>
      <c r="J11" s="779"/>
      <c r="K11" s="779"/>
      <c r="L11" s="779"/>
    </row>
    <row r="12" spans="1:12" ht="16.5" thickBot="1">
      <c r="A12" s="1152"/>
      <c r="B12" s="1153" t="s">
        <v>1578</v>
      </c>
      <c r="C12" s="1153"/>
      <c r="D12" s="1153"/>
      <c r="E12" s="1153"/>
      <c r="F12" s="1154">
        <f>F11/Productivity!B14*1000</f>
        <v>0.58251596113398185</v>
      </c>
      <c r="G12" s="144"/>
      <c r="H12" s="144"/>
      <c r="I12" s="144"/>
    </row>
    <row r="13" spans="1:12">
      <c r="G13" s="144"/>
      <c r="H13" s="144"/>
      <c r="I13" s="144"/>
    </row>
    <row r="14" spans="1:12" ht="16.5" thickBot="1">
      <c r="G14" s="144"/>
      <c r="H14" s="144"/>
      <c r="I14" s="144"/>
    </row>
    <row r="15" spans="1:12">
      <c r="A15" s="1472" t="s">
        <v>1127</v>
      </c>
      <c r="B15" s="1473"/>
      <c r="C15" s="1473"/>
      <c r="D15" s="1473"/>
      <c r="E15" s="1473"/>
      <c r="F15" s="1474"/>
      <c r="G15" s="144"/>
      <c r="H15" s="144"/>
      <c r="I15" s="144"/>
    </row>
    <row r="16" spans="1:12">
      <c r="A16" s="1140" t="s">
        <v>1088</v>
      </c>
      <c r="B16" s="1141" t="s">
        <v>1105</v>
      </c>
      <c r="C16" s="1142" t="s">
        <v>1833</v>
      </c>
      <c r="D16" s="1142" t="s">
        <v>819</v>
      </c>
      <c r="E16" s="1143" t="s">
        <v>1835</v>
      </c>
      <c r="F16" s="1144" t="s">
        <v>127</v>
      </c>
      <c r="G16" s="144"/>
      <c r="H16" s="144"/>
      <c r="I16" s="940"/>
    </row>
    <row r="17" spans="1:9">
      <c r="A17" s="1145" t="str">
        <f>INPUTS!C69</f>
        <v>Concentrate (commercial)</v>
      </c>
      <c r="B17" s="1146" t="str">
        <f>INPUTS!D69</f>
        <v>Purchased</v>
      </c>
      <c r="C17" s="1155">
        <f xml:space="preserve"> 'Land Requirement '!B20</f>
        <v>941.70753469102169</v>
      </c>
      <c r="D17" s="1155">
        <f xml:space="preserve"> 'Land Requirement '!C20</f>
        <v>1215.9030912119924</v>
      </c>
      <c r="E17" s="1155">
        <f xml:space="preserve"> 'Land Requirement '!D20</f>
        <v>0</v>
      </c>
      <c r="F17" s="1156">
        <f>SUM(C17:E17)</f>
        <v>2157.6106259030139</v>
      </c>
      <c r="G17" s="144"/>
      <c r="H17" s="144"/>
      <c r="I17" s="144"/>
    </row>
    <row r="18" spans="1:9">
      <c r="A18" s="1145" t="str">
        <f>INPUTS!C70</f>
        <v>Pennisetum purpureum - forage</v>
      </c>
      <c r="B18" s="1146" t="str">
        <f>INPUTS!D70</f>
        <v>Pennisetum purpureum</v>
      </c>
      <c r="C18" s="1155">
        <f>'Land Requirement '!R20</f>
        <v>470.85376734551085</v>
      </c>
      <c r="D18" s="1155">
        <f>'Land Requirement '!S20</f>
        <v>202.65051520199876</v>
      </c>
      <c r="E18" s="1155">
        <f>'Land Requirement '!T20</f>
        <v>0</v>
      </c>
      <c r="F18" s="1156">
        <f t="shared" ref="F18:F23" si="4">SUM(C18:E18)</f>
        <v>673.50428254750955</v>
      </c>
      <c r="G18" s="144"/>
      <c r="H18" s="144"/>
      <c r="I18" s="144"/>
    </row>
    <row r="19" spans="1:9">
      <c r="A19" s="1145" t="str">
        <f>INPUTS!C71</f>
        <v>Rhodes grass (Chloris gayana) - forage</v>
      </c>
      <c r="B19" s="1146" t="str">
        <f>INPUTS!D71</f>
        <v>Rhodes</v>
      </c>
      <c r="C19" s="1155">
        <f>'Land Requirement '!AH20</f>
        <v>1927.9892260240849</v>
      </c>
      <c r="D19" s="1155">
        <f>'Land Requirement '!AI20</f>
        <v>798.94965618388005</v>
      </c>
      <c r="E19" s="1155">
        <f>'Land Requirement '!AJ20</f>
        <v>0</v>
      </c>
      <c r="F19" s="1156">
        <f t="shared" si="4"/>
        <v>2726.938882207965</v>
      </c>
      <c r="G19" s="144"/>
      <c r="H19" s="144"/>
      <c r="I19" s="144"/>
    </row>
    <row r="20" spans="1:9">
      <c r="A20" s="1145" t="str">
        <f>INPUTS!C72</f>
        <v>Guatemala (Tripsacum andersonii) - forage</v>
      </c>
      <c r="B20" s="1146" t="str">
        <f>INPUTS!D72</f>
        <v>Guatemala</v>
      </c>
      <c r="C20" s="1155">
        <f>'Land Requirement '!AX20</f>
        <v>230.19517514669423</v>
      </c>
      <c r="D20" s="1155">
        <f>'Land Requirement '!AY20</f>
        <v>1114.5778336109934</v>
      </c>
      <c r="E20" s="1155">
        <f>'Land Requirement '!AZ20</f>
        <v>0</v>
      </c>
      <c r="F20" s="1156">
        <f t="shared" si="4"/>
        <v>1344.7730087576876</v>
      </c>
      <c r="G20" s="144"/>
      <c r="H20" s="144"/>
      <c r="I20" s="144"/>
    </row>
    <row r="21" spans="1:9">
      <c r="A21" s="1145" t="str">
        <f>INPUTS!C73</f>
        <v>Maize (Zea mays) - stover</v>
      </c>
      <c r="B21" s="1146" t="str">
        <f>INPUTS!D73</f>
        <v>Maize</v>
      </c>
      <c r="C21" s="1155">
        <f>'Land Requirement '!BN20</f>
        <v>364.12691341386176</v>
      </c>
      <c r="D21" s="1155">
        <f>'Land Requirement '!BO20</f>
        <v>2203.8243528217363</v>
      </c>
      <c r="E21" s="1155">
        <f>'Land Requirement '!BP20</f>
        <v>0</v>
      </c>
      <c r="F21" s="1156">
        <f t="shared" si="4"/>
        <v>2567.9512662355983</v>
      </c>
      <c r="G21" s="144"/>
      <c r="H21" s="144"/>
      <c r="I21" s="144"/>
    </row>
    <row r="22" spans="1:9">
      <c r="A22" s="1145" t="str">
        <f>INPUTS!C74</f>
        <v xml:space="preserve">Naturally occuring pasture - green fodder </v>
      </c>
      <c r="B22" s="1146" t="str">
        <f>INPUTS!D74</f>
        <v>Natural pasture</v>
      </c>
      <c r="C22" s="1155">
        <f>'Land Requirement '!CD20</f>
        <v>4520.1961665169047</v>
      </c>
      <c r="D22" s="1155">
        <f>'Land Requirement '!CE20</f>
        <v>2026.5051520199879</v>
      </c>
      <c r="E22" s="1155">
        <f>'Land Requirement '!CF20</f>
        <v>0</v>
      </c>
      <c r="F22" s="1156">
        <f t="shared" si="4"/>
        <v>6546.7013185368924</v>
      </c>
      <c r="G22" s="144"/>
      <c r="H22" s="144"/>
      <c r="I22" s="144"/>
    </row>
    <row r="23" spans="1:9">
      <c r="A23" s="1145" t="str">
        <f>INPUTS!C75</f>
        <v>N/A</v>
      </c>
      <c r="B23" s="1146" t="str">
        <f>INPUTS!D75</f>
        <v>N/A</v>
      </c>
      <c r="C23" s="1155">
        <f>'Land Requirement '!CT20</f>
        <v>0</v>
      </c>
      <c r="D23" s="1155">
        <f>'Land Requirement '!CU20</f>
        <v>0</v>
      </c>
      <c r="E23" s="1155">
        <f>'Land Requirement '!CV20</f>
        <v>0</v>
      </c>
      <c r="F23" s="1156">
        <f t="shared" si="4"/>
        <v>0</v>
      </c>
      <c r="G23" s="144"/>
      <c r="H23" s="144"/>
      <c r="I23" s="144"/>
    </row>
    <row r="24" spans="1:9">
      <c r="A24" s="1145"/>
      <c r="B24" s="1149" t="s">
        <v>1129</v>
      </c>
      <c r="C24" s="1157">
        <f>SUM(C17:C23)</f>
        <v>8455.0687831380783</v>
      </c>
      <c r="D24" s="1157">
        <f t="shared" ref="D24:E24" si="5">SUM(D17:D23)</f>
        <v>7562.4106010505884</v>
      </c>
      <c r="E24" s="1157">
        <f t="shared" si="5"/>
        <v>0</v>
      </c>
      <c r="F24" s="1158">
        <f>SUM(F17:F23)</f>
        <v>16017.479384188668</v>
      </c>
      <c r="G24" s="144"/>
      <c r="H24" s="144"/>
      <c r="I24" s="144"/>
    </row>
    <row r="25" spans="1:9" ht="16.5" thickBot="1">
      <c r="A25" s="1152"/>
      <c r="B25" s="1153" t="s">
        <v>1577</v>
      </c>
      <c r="C25" s="1159"/>
      <c r="D25" s="1159"/>
      <c r="E25" s="1159"/>
      <c r="F25" s="1160">
        <f>F24/Productivity!B14</f>
        <v>5.2886531570794464</v>
      </c>
      <c r="G25" s="144"/>
      <c r="H25" s="144"/>
      <c r="I25" s="144"/>
    </row>
    <row r="29" spans="1:9">
      <c r="A29" s="1475"/>
      <c r="B29" s="1475"/>
      <c r="C29" s="1475"/>
      <c r="D29" s="1475"/>
      <c r="E29" s="1475"/>
      <c r="F29" s="1475"/>
    </row>
    <row r="30" spans="1:9">
      <c r="A30" s="454"/>
      <c r="B30" s="454"/>
      <c r="C30" s="454"/>
      <c r="D30" s="353"/>
      <c r="E30" s="353"/>
      <c r="F30" s="457"/>
    </row>
    <row r="31" spans="1:9">
      <c r="A31" s="352"/>
      <c r="B31" s="352"/>
      <c r="C31" s="455"/>
      <c r="D31" s="455"/>
      <c r="E31" s="455"/>
      <c r="F31" s="455"/>
    </row>
    <row r="32" spans="1:9">
      <c r="A32" s="352"/>
      <c r="B32" s="352"/>
      <c r="C32" s="455"/>
      <c r="D32" s="455"/>
      <c r="E32" s="455"/>
      <c r="F32" s="455"/>
    </row>
    <row r="33" spans="1:6">
      <c r="A33" s="352"/>
      <c r="B33" s="352"/>
      <c r="C33" s="455"/>
      <c r="D33" s="455"/>
      <c r="E33" s="455"/>
      <c r="F33" s="455"/>
    </row>
    <row r="34" spans="1:6">
      <c r="A34" s="352"/>
      <c r="B34" s="352"/>
      <c r="C34" s="455"/>
      <c r="D34" s="455"/>
      <c r="E34" s="455"/>
      <c r="F34" s="455"/>
    </row>
    <row r="35" spans="1:6">
      <c r="A35" s="352"/>
      <c r="B35" s="352"/>
      <c r="C35" s="455"/>
      <c r="D35" s="455"/>
      <c r="E35" s="455"/>
      <c r="F35" s="455"/>
    </row>
    <row r="36" spans="1:6">
      <c r="A36" s="352"/>
      <c r="B36" s="352"/>
      <c r="C36" s="455"/>
      <c r="D36" s="455"/>
      <c r="E36" s="455"/>
      <c r="F36" s="455"/>
    </row>
    <row r="37" spans="1:6">
      <c r="A37" s="352"/>
      <c r="B37" s="352"/>
      <c r="C37" s="455"/>
      <c r="D37" s="455"/>
      <c r="E37" s="455"/>
      <c r="F37" s="455"/>
    </row>
    <row r="38" spans="1:6">
      <c r="A38" s="352"/>
      <c r="B38" s="353"/>
      <c r="C38" s="456"/>
      <c r="D38" s="456"/>
      <c r="E38" s="456"/>
      <c r="F38" s="456"/>
    </row>
    <row r="39" spans="1:6">
      <c r="A39" s="352"/>
      <c r="B39" s="352"/>
      <c r="C39" s="352"/>
      <c r="D39" s="352"/>
      <c r="E39" s="352"/>
      <c r="F39" s="458"/>
    </row>
    <row r="42" spans="1:6">
      <c r="A42" s="1475"/>
      <c r="B42" s="1475"/>
      <c r="C42" s="1475"/>
      <c r="D42" s="1475"/>
      <c r="E42" s="1475"/>
      <c r="F42" s="1475"/>
    </row>
    <row r="43" spans="1:6">
      <c r="A43" s="454"/>
      <c r="B43" s="454"/>
      <c r="C43" s="353"/>
      <c r="D43" s="353"/>
      <c r="E43" s="353"/>
      <c r="F43" s="353"/>
    </row>
    <row r="44" spans="1:6">
      <c r="A44" s="352"/>
      <c r="B44" s="352"/>
      <c r="C44" s="354"/>
      <c r="D44" s="354"/>
      <c r="E44" s="354"/>
      <c r="F44" s="459"/>
    </row>
    <row r="45" spans="1:6">
      <c r="A45" s="352"/>
      <c r="B45" s="352"/>
      <c r="C45" s="354"/>
      <c r="D45" s="354"/>
      <c r="E45" s="354"/>
      <c r="F45" s="459"/>
    </row>
    <row r="46" spans="1:6">
      <c r="A46" s="352"/>
      <c r="B46" s="352"/>
      <c r="C46" s="354"/>
      <c r="D46" s="354"/>
      <c r="E46" s="354"/>
      <c r="F46" s="459"/>
    </row>
    <row r="47" spans="1:6">
      <c r="A47" s="352"/>
      <c r="B47" s="352"/>
      <c r="C47" s="354"/>
      <c r="D47" s="354"/>
      <c r="E47" s="354"/>
      <c r="F47" s="459"/>
    </row>
    <row r="48" spans="1:6">
      <c r="A48" s="352"/>
      <c r="B48" s="352"/>
      <c r="C48" s="354"/>
      <c r="D48" s="354"/>
      <c r="E48" s="354"/>
      <c r="F48" s="459"/>
    </row>
    <row r="49" spans="1:6">
      <c r="A49" s="352"/>
      <c r="B49" s="352"/>
      <c r="C49" s="354"/>
      <c r="D49" s="354"/>
      <c r="E49" s="354"/>
      <c r="F49" s="459"/>
    </row>
    <row r="50" spans="1:6">
      <c r="A50" s="352"/>
      <c r="B50" s="352"/>
      <c r="C50" s="354"/>
      <c r="D50" s="354"/>
      <c r="E50" s="354"/>
      <c r="F50" s="459"/>
    </row>
    <row r="51" spans="1:6">
      <c r="A51" s="352"/>
      <c r="B51" s="353"/>
      <c r="C51" s="355"/>
      <c r="D51" s="355"/>
      <c r="E51" s="355"/>
      <c r="F51" s="355"/>
    </row>
    <row r="52" spans="1:6">
      <c r="A52" s="352"/>
      <c r="B52" s="352"/>
      <c r="C52" s="460"/>
      <c r="D52" s="460"/>
      <c r="E52" s="460"/>
      <c r="F52" s="461"/>
    </row>
  </sheetData>
  <sheetProtection pivotTables="0"/>
  <mergeCells count="4">
    <mergeCell ref="A2:F2"/>
    <mergeCell ref="A15:F15"/>
    <mergeCell ref="A29:F29"/>
    <mergeCell ref="A42:F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workbookViewId="0">
      <selection activeCell="C41" sqref="C41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1161"/>
      <c r="B2" s="1162" t="s">
        <v>1073</v>
      </c>
      <c r="C2" s="1163" t="s">
        <v>1072</v>
      </c>
      <c r="D2" s="310"/>
    </row>
    <row r="3" spans="1:19">
      <c r="A3" s="1164" t="s">
        <v>1102</v>
      </c>
      <c r="B3" s="1165">
        <f>C17</f>
        <v>3534958.5000000005</v>
      </c>
      <c r="C3" s="1166">
        <f>B3/2500</f>
        <v>1413.9834000000001</v>
      </c>
      <c r="D3" s="309"/>
    </row>
    <row r="4" spans="1:19">
      <c r="A4" s="1164"/>
      <c r="B4" s="1165"/>
      <c r="C4" s="1166"/>
      <c r="D4" s="309"/>
    </row>
    <row r="5" spans="1:19" ht="16.5" thickBot="1">
      <c r="A5" s="1167"/>
      <c r="B5" s="1168"/>
      <c r="C5" s="1169"/>
      <c r="D5" s="310"/>
    </row>
    <row r="6" spans="1:19">
      <c r="A6" s="310" t="s">
        <v>1070</v>
      </c>
      <c r="B6" s="310"/>
      <c r="C6" s="310"/>
      <c r="D6" s="310"/>
    </row>
    <row r="7" spans="1:19">
      <c r="A7" s="310"/>
      <c r="B7" s="310"/>
      <c r="C7" s="310"/>
      <c r="D7" s="310"/>
    </row>
    <row r="8" spans="1:19" ht="16.5" thickBot="1">
      <c r="A8" s="310"/>
      <c r="B8" s="310"/>
      <c r="C8" s="310"/>
      <c r="D8" s="310"/>
    </row>
    <row r="9" spans="1:19">
      <c r="A9" s="1170" t="s">
        <v>829</v>
      </c>
      <c r="B9" s="1171"/>
      <c r="C9" s="1171"/>
      <c r="D9" s="1171"/>
      <c r="E9" s="1171"/>
      <c r="F9" s="1172"/>
    </row>
    <row r="10" spans="1:19">
      <c r="A10" s="1173" t="s">
        <v>1345</v>
      </c>
      <c r="B10" s="1174">
        <f>SUM('Meat &amp; Milk '!D3:D9)</f>
        <v>6.5280000000000005</v>
      </c>
      <c r="C10" s="1174"/>
      <c r="D10" s="1174"/>
      <c r="E10" s="1174"/>
      <c r="F10" s="1175"/>
    </row>
    <row r="11" spans="1:19">
      <c r="A11" s="1176" t="s">
        <v>1069</v>
      </c>
      <c r="B11" s="1177"/>
      <c r="C11" s="1177"/>
      <c r="D11" s="1177"/>
      <c r="E11" s="1177"/>
      <c r="F11" s="1178"/>
    </row>
    <row r="12" spans="1:19" ht="31.5">
      <c r="A12" s="1179"/>
      <c r="B12" s="1180" t="s">
        <v>1019</v>
      </c>
      <c r="C12" s="1180" t="s">
        <v>1021</v>
      </c>
      <c r="D12" s="1180" t="s">
        <v>1317</v>
      </c>
      <c r="E12" s="1180"/>
      <c r="F12" s="1181" t="s">
        <v>1071</v>
      </c>
      <c r="S12" s="217"/>
    </row>
    <row r="13" spans="1:19">
      <c r="A13" s="1182"/>
      <c r="B13" s="1183"/>
      <c r="C13" s="1183"/>
      <c r="D13" s="1183"/>
      <c r="E13" s="1183"/>
      <c r="F13" s="1181"/>
    </row>
    <row r="14" spans="1:19">
      <c r="A14" s="1182" t="s">
        <v>1020</v>
      </c>
      <c r="B14" s="1184">
        <f>'Meat &amp; Milk '!B33</f>
        <v>3028.6500000000005</v>
      </c>
      <c r="C14" s="1184">
        <f>'Meat &amp; Milk '!B35</f>
        <v>2937790.5000000005</v>
      </c>
      <c r="D14" s="1184">
        <f>'Meat &amp; Milk '!B36</f>
        <v>96.916800000000023</v>
      </c>
      <c r="E14" s="1184"/>
      <c r="F14" s="1185">
        <f>C14/2500</f>
        <v>1175.1162000000002</v>
      </c>
      <c r="G14" s="781"/>
    </row>
    <row r="15" spans="1:19">
      <c r="A15" s="1182" t="s">
        <v>1022</v>
      </c>
      <c r="B15" s="1184">
        <f>'Meat &amp; Milk '!B29</f>
        <v>271.44</v>
      </c>
      <c r="C15" s="1184">
        <f>'Meat &amp; Milk '!B28</f>
        <v>597168</v>
      </c>
      <c r="D15" s="1184">
        <f>'Meat &amp; Milk '!B30</f>
        <v>70.574399999999997</v>
      </c>
      <c r="E15" s="1184"/>
      <c r="F15" s="1185">
        <f>C15/2500</f>
        <v>238.8672</v>
      </c>
      <c r="G15" s="781"/>
    </row>
    <row r="16" spans="1:19">
      <c r="A16" s="1182"/>
      <c r="B16" s="1186"/>
      <c r="C16" s="1186"/>
      <c r="D16" s="1186"/>
      <c r="E16" s="1186"/>
      <c r="F16" s="1187"/>
    </row>
    <row r="17" spans="1:6" ht="16.5" thickBot="1">
      <c r="A17" s="1188" t="s">
        <v>209</v>
      </c>
      <c r="B17" s="1189"/>
      <c r="C17" s="1189">
        <f>SUM(C14:C15)</f>
        <v>3534958.5000000005</v>
      </c>
      <c r="D17" s="1189">
        <f t="shared" ref="D17:F17" si="0">SUM(D14:D15)</f>
        <v>167.49120000000002</v>
      </c>
      <c r="E17" s="1189">
        <f t="shared" si="0"/>
        <v>0</v>
      </c>
      <c r="F17" s="1190">
        <f t="shared" si="0"/>
        <v>1413.9834000000001</v>
      </c>
    </row>
    <row r="18" spans="1:6" ht="16.5" thickBot="1">
      <c r="A18" s="399"/>
      <c r="C18" s="310"/>
      <c r="D18" s="310"/>
    </row>
    <row r="19" spans="1:6" ht="31.5">
      <c r="A19" s="1191"/>
      <c r="B19" s="1192" t="s">
        <v>1019</v>
      </c>
      <c r="C19" s="310"/>
      <c r="D19" s="310"/>
    </row>
    <row r="20" spans="1:6" ht="16.5" thickBot="1">
      <c r="A20" s="1193" t="s">
        <v>751</v>
      </c>
      <c r="B20" s="1194">
        <f>Feed!F175</f>
        <v>5846.3799752288633</v>
      </c>
      <c r="C20" s="310"/>
      <c r="D20" s="310"/>
    </row>
    <row r="21" spans="1:6">
      <c r="A21" s="399"/>
      <c r="B21" s="310"/>
      <c r="C21" s="310"/>
      <c r="D21" s="310"/>
    </row>
    <row r="22" spans="1:6">
      <c r="A22" s="399"/>
      <c r="B22" s="310"/>
      <c r="C22" s="310"/>
      <c r="D22" s="310"/>
    </row>
    <row r="23" spans="1:6">
      <c r="A23" s="399"/>
      <c r="B23" s="310"/>
      <c r="C23" s="310"/>
      <c r="D23" s="310"/>
    </row>
    <row r="24" spans="1:6">
      <c r="A24" s="399"/>
      <c r="B24" s="310"/>
      <c r="C24" s="310"/>
      <c r="D24" s="310"/>
    </row>
    <row r="25" spans="1:6">
      <c r="A25" s="399"/>
      <c r="B25" s="310"/>
      <c r="C25" s="310"/>
      <c r="D25" s="310"/>
    </row>
    <row r="26" spans="1:6">
      <c r="A26" s="399"/>
      <c r="B26" s="310"/>
      <c r="C26" s="310"/>
      <c r="D26" s="310"/>
    </row>
    <row r="27" spans="1:6">
      <c r="A27" s="399"/>
      <c r="B27" s="310"/>
      <c r="C27" s="310"/>
      <c r="D27" s="310"/>
    </row>
    <row r="28" spans="1:6">
      <c r="A28" s="399"/>
      <c r="B28" s="310"/>
      <c r="C28" s="310"/>
      <c r="D28" s="310"/>
    </row>
    <row r="29" spans="1:6">
      <c r="A29" s="399"/>
      <c r="B29" s="310"/>
      <c r="C29" s="310"/>
      <c r="D29" s="310"/>
    </row>
    <row r="30" spans="1:6">
      <c r="A30" s="399"/>
      <c r="B30" s="310"/>
      <c r="C30" s="310"/>
      <c r="D30" s="310"/>
    </row>
    <row r="31" spans="1:6">
      <c r="A31" s="399"/>
      <c r="B31" s="310"/>
      <c r="C31" s="310"/>
      <c r="D31" s="310"/>
      <c r="F31" s="39"/>
    </row>
    <row r="32" spans="1:6">
      <c r="A32" s="399"/>
      <c r="B32" s="310"/>
      <c r="C32" s="310"/>
      <c r="D32" s="310"/>
    </row>
    <row r="33" spans="1:4">
      <c r="A33" s="399"/>
      <c r="B33" s="310"/>
      <c r="C33" s="310"/>
      <c r="D33" s="310"/>
    </row>
    <row r="34" spans="1:4">
      <c r="A34" s="399"/>
      <c r="B34" s="310"/>
      <c r="C34" s="310"/>
      <c r="D34" s="310"/>
    </row>
    <row r="35" spans="1:4">
      <c r="A35" s="399"/>
      <c r="B35" s="310"/>
      <c r="C35" s="310"/>
      <c r="D35" s="310"/>
    </row>
    <row r="36" spans="1:4">
      <c r="A36" s="399"/>
      <c r="B36" s="310"/>
      <c r="C36" s="310"/>
      <c r="D36" s="310"/>
    </row>
    <row r="37" spans="1:4">
      <c r="A37" s="399"/>
      <c r="B37" s="310"/>
      <c r="C37" s="310"/>
      <c r="D37" s="310"/>
    </row>
    <row r="38" spans="1:4">
      <c r="A38" s="399"/>
      <c r="B38" s="310"/>
      <c r="C38" s="310"/>
      <c r="D38" s="310"/>
    </row>
    <row r="39" spans="1:4">
      <c r="A39" s="399"/>
      <c r="B39" s="310"/>
      <c r="C39" s="310"/>
      <c r="D39" s="310"/>
    </row>
    <row r="40" spans="1:4">
      <c r="A40" s="399"/>
      <c r="B40" s="310"/>
      <c r="C40" s="310"/>
      <c r="D40" s="310"/>
    </row>
    <row r="41" spans="1:4">
      <c r="A41" s="399"/>
      <c r="B41" s="310"/>
      <c r="C41" s="310"/>
      <c r="D41" s="310"/>
    </row>
    <row r="42" spans="1:4">
      <c r="A42" s="399"/>
      <c r="B42" s="310"/>
      <c r="C42" s="310"/>
      <c r="D42" s="310"/>
    </row>
    <row r="43" spans="1:4">
      <c r="A43" s="399"/>
      <c r="B43" s="310"/>
      <c r="C43" s="310"/>
      <c r="D43" s="310"/>
    </row>
    <row r="44" spans="1:4">
      <c r="A44" s="399"/>
      <c r="B44" s="310"/>
      <c r="C44" s="310"/>
      <c r="D44" s="310"/>
    </row>
    <row r="45" spans="1:4">
      <c r="A45" s="399"/>
      <c r="B45" s="310"/>
      <c r="C45" s="310"/>
      <c r="D45" s="310"/>
    </row>
    <row r="46" spans="1:4">
      <c r="A46" s="399"/>
      <c r="B46" s="310"/>
      <c r="C46" s="310"/>
      <c r="D46" s="310"/>
    </row>
    <row r="47" spans="1:4">
      <c r="A47" s="399"/>
      <c r="B47" s="310"/>
      <c r="C47" s="310"/>
      <c r="D47" s="310"/>
    </row>
    <row r="48" spans="1:4">
      <c r="A48" s="399"/>
      <c r="B48" s="310"/>
      <c r="C48" s="310"/>
      <c r="D48" s="310"/>
    </row>
    <row r="49" spans="1:9">
      <c r="A49" s="399"/>
      <c r="B49" s="310"/>
      <c r="C49" s="310"/>
      <c r="D49" s="310"/>
    </row>
    <row r="50" spans="1:9">
      <c r="A50" s="399"/>
      <c r="B50" s="310"/>
      <c r="C50" s="310"/>
      <c r="D50" s="310"/>
    </row>
    <row r="51" spans="1:9">
      <c r="A51" s="399"/>
      <c r="B51" s="310"/>
      <c r="C51" s="310"/>
      <c r="D51" s="310"/>
    </row>
    <row r="52" spans="1:9">
      <c r="A52" s="399"/>
      <c r="B52" s="310"/>
      <c r="C52" s="310"/>
      <c r="D52" s="310"/>
    </row>
    <row r="53" spans="1:9">
      <c r="A53" s="399"/>
      <c r="B53" s="310"/>
      <c r="C53" s="310"/>
      <c r="D53" s="310"/>
    </row>
    <row r="54" spans="1:9">
      <c r="A54" s="399"/>
      <c r="B54" s="310"/>
      <c r="C54" s="310"/>
      <c r="D54" s="310"/>
    </row>
    <row r="55" spans="1:9">
      <c r="A55" s="310"/>
      <c r="B55" s="310"/>
      <c r="C55" s="310"/>
      <c r="D55" s="310"/>
    </row>
    <row r="56" spans="1:9">
      <c r="A56" s="310"/>
      <c r="B56" s="310"/>
      <c r="C56" s="310"/>
      <c r="D56" s="310"/>
    </row>
    <row r="57" spans="1:9">
      <c r="F57" s="310"/>
      <c r="G57" s="310"/>
      <c r="H57" s="310"/>
      <c r="I57" s="310"/>
    </row>
    <row r="58" spans="1:9">
      <c r="F58" s="310"/>
      <c r="G58" s="310"/>
      <c r="H58" s="310"/>
      <c r="I58" s="310"/>
    </row>
    <row r="59" spans="1:9">
      <c r="F59" s="310"/>
      <c r="G59" s="310"/>
      <c r="H59" s="310"/>
      <c r="I59" s="310"/>
    </row>
    <row r="60" spans="1:9">
      <c r="F60" s="310"/>
      <c r="G60" s="310"/>
      <c r="H60" s="310"/>
      <c r="I60" s="310"/>
    </row>
    <row r="61" spans="1:9">
      <c r="F61" s="310"/>
      <c r="G61" s="310"/>
      <c r="H61" s="310"/>
      <c r="I61" s="31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J28" sqref="J28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1589</v>
      </c>
    </row>
    <row r="2" spans="2:5">
      <c r="B2" s="37"/>
    </row>
    <row r="3" spans="2:5">
      <c r="B3" s="1195" t="s">
        <v>1208</v>
      </c>
      <c r="C3" s="1196">
        <f>'Economics_Payback '!E18</f>
        <v>1908.2565038563275</v>
      </c>
      <c r="D3" s="1197"/>
      <c r="E3" s="1197"/>
    </row>
    <row r="4" spans="2:5">
      <c r="B4" s="1195" t="s">
        <v>1284</v>
      </c>
      <c r="C4" s="1196">
        <f>'Economics_Payback '!E18/'Land requirements'!F11</f>
        <v>1081.6327630408166</v>
      </c>
      <c r="D4" s="1197"/>
      <c r="E4" s="1197"/>
    </row>
    <row r="5" spans="2:5">
      <c r="B5" s="1197"/>
      <c r="C5" s="1198"/>
      <c r="D5" s="1197"/>
      <c r="E5" s="1197"/>
    </row>
    <row r="6" spans="2:5">
      <c r="B6" s="1197"/>
      <c r="C6" s="1197"/>
      <c r="D6" s="1197"/>
      <c r="E6" s="1197"/>
    </row>
    <row r="7" spans="2:5">
      <c r="B7" s="1199" t="s">
        <v>1220</v>
      </c>
      <c r="C7" s="1197"/>
      <c r="D7" s="1197"/>
      <c r="E7" s="1197"/>
    </row>
    <row r="8" spans="2:5">
      <c r="B8" s="1197"/>
      <c r="C8" s="1197"/>
      <c r="D8" s="1197"/>
      <c r="E8" s="1197"/>
    </row>
    <row r="9" spans="2:5">
      <c r="B9" s="1195" t="s">
        <v>1069</v>
      </c>
      <c r="C9" s="1195" t="s">
        <v>1215</v>
      </c>
      <c r="D9" s="1195" t="s">
        <v>1283</v>
      </c>
      <c r="E9" s="1195" t="s">
        <v>1654</v>
      </c>
    </row>
    <row r="10" spans="2:5">
      <c r="B10" s="1197" t="s">
        <v>1651</v>
      </c>
      <c r="C10" s="1198" t="str">
        <f ca="1">IFERROR('Economics_Payback '!B$63, "")</f>
        <v/>
      </c>
      <c r="D10" s="1200" t="str">
        <f ca="1">IFERROR('Economics_Payback '!B88,"")</f>
        <v/>
      </c>
      <c r="E10" s="1201" t="str">
        <f ca="1">IFERROR(C10/'Land Requirement '!DK$21+'Land Requirement '!$DJ$21,"")</f>
        <v/>
      </c>
    </row>
    <row r="11" spans="2:5">
      <c r="B11" s="1197">
        <f>'Economics_Payback '!A71</f>
        <v>1</v>
      </c>
      <c r="C11" s="1198" t="str">
        <f ca="1">IFERROR('Economics_Payback '!C$63, "")</f>
        <v/>
      </c>
      <c r="D11" s="1200" t="str">
        <f ca="1">IFERROR('Economics_Payback '!B89,"")</f>
        <v/>
      </c>
      <c r="E11" s="1201" t="str">
        <f ca="1">IFERROR(C11/'Land Requirement '!DK$21+'Land Requirement '!$DJ$21,"")</f>
        <v/>
      </c>
    </row>
    <row r="12" spans="2:5">
      <c r="B12" s="1197">
        <f>'Economics_Payback '!A72</f>
        <v>2</v>
      </c>
      <c r="C12" s="1198" t="str">
        <f ca="1">IFERROR('Economics_Payback '!D$63, "")</f>
        <v/>
      </c>
      <c r="D12" s="1200" t="str">
        <f ca="1">IFERROR('Economics_Payback '!B90,"")</f>
        <v/>
      </c>
      <c r="E12" s="1201" t="str">
        <f ca="1">IFERROR(C12/'Land Requirement '!DK$21+'Land Requirement '!$DJ$21,"")</f>
        <v/>
      </c>
    </row>
    <row r="13" spans="2:5">
      <c r="B13" s="1197">
        <f>'Economics_Payback '!A73</f>
        <v>3</v>
      </c>
      <c r="C13" s="1198" t="str">
        <f ca="1">IFERROR('Economics_Payback '!E$63, "")</f>
        <v/>
      </c>
      <c r="D13" s="1200" t="str">
        <f ca="1">IFERROR('Economics_Payback '!B91,"")</f>
        <v/>
      </c>
      <c r="E13" s="1201" t="str">
        <f ca="1">IFERROR(C13/'Land Requirement '!DK$21+'Land Requirement '!$DJ$21,"")</f>
        <v/>
      </c>
    </row>
    <row r="14" spans="2:5">
      <c r="B14" s="1197">
        <f>'Economics_Payback '!A74</f>
        <v>4</v>
      </c>
      <c r="C14" s="1198" t="str">
        <f ca="1">IFERROR('Economics_Payback '!F$63, "")</f>
        <v/>
      </c>
      <c r="D14" s="1200" t="str">
        <f ca="1">IFERROR('Economics_Payback '!B92,"")</f>
        <v/>
      </c>
      <c r="E14" s="1201" t="str">
        <f ca="1">IFERROR(C14/'Land Requirement '!DK$21+'Land Requirement '!$DJ$21,"")</f>
        <v/>
      </c>
    </row>
    <row r="15" spans="2:5">
      <c r="B15" s="1197">
        <f>'Economics_Payback '!A75</f>
        <v>5</v>
      </c>
      <c r="C15" s="1198" t="str">
        <f ca="1">IFERROR('Economics_Payback '!G$63, "")</f>
        <v/>
      </c>
      <c r="D15" s="1200" t="str">
        <f ca="1">IFERROR('Economics_Payback '!B93,"")</f>
        <v/>
      </c>
      <c r="E15" s="1201" t="str">
        <f ca="1">IFERROR(C15/'Land Requirement '!DK$21+'Land Requirement '!$DJ$21,"")</f>
        <v/>
      </c>
    </row>
    <row r="16" spans="2:5">
      <c r="B16" s="1197">
        <f>'Economics_Payback '!A76</f>
        <v>6</v>
      </c>
      <c r="C16" s="1198" t="str">
        <f ca="1">IFERROR('Economics_Payback '!H$63, "")</f>
        <v/>
      </c>
      <c r="D16" s="1200" t="str">
        <f ca="1">IFERROR('Economics_Payback '!B94,"")</f>
        <v/>
      </c>
      <c r="E16" s="1201" t="str">
        <f ca="1">IFERROR(C16/'Land Requirement '!DK$21+'Land Requirement '!$DJ$21,"")</f>
        <v/>
      </c>
    </row>
    <row r="17" spans="2:5">
      <c r="B17" s="1197">
        <f>'Economics_Payback '!A77</f>
        <v>7</v>
      </c>
      <c r="C17" s="1198" t="str">
        <f ca="1">IFERROR('Economics_Payback '!I$63, "")</f>
        <v/>
      </c>
      <c r="D17" s="1200" t="str">
        <f ca="1">IFERROR('Economics_Payback '!B95,"")</f>
        <v/>
      </c>
      <c r="E17" s="1201" t="str">
        <f ca="1">IFERROR(C17/'Land Requirement '!DK$21+'Land Requirement '!$DJ$21,"")</f>
        <v/>
      </c>
    </row>
    <row r="18" spans="2:5">
      <c r="B18" s="1197">
        <f>'Economics_Payback '!A78</f>
        <v>8</v>
      </c>
      <c r="C18" s="1198" t="str">
        <f ca="1">IFERROR('Economics_Payback '!J$63, "")</f>
        <v/>
      </c>
      <c r="D18" s="1200" t="str">
        <f ca="1">IFERROR('Economics_Payback '!B96,"")</f>
        <v/>
      </c>
      <c r="E18" s="1201" t="str">
        <f ca="1">IFERROR(C18/'Land Requirement '!DK$21+'Land Requirement '!$DJ$21,"")</f>
        <v/>
      </c>
    </row>
    <row r="19" spans="2:5">
      <c r="B19" s="1197">
        <f>'Economics_Payback '!A79</f>
        <v>9</v>
      </c>
      <c r="C19" s="1198" t="str">
        <f ca="1">IFERROR('Economics_Payback '!K$63, "")</f>
        <v/>
      </c>
      <c r="D19" s="1200" t="str">
        <f ca="1">IFERROR('Economics_Payback '!B97,"")</f>
        <v/>
      </c>
      <c r="E19" s="1201" t="str">
        <f ca="1">IFERROR(C19/'Land Requirement '!DK$21+'Land Requirement '!$DJ$21,"")</f>
        <v/>
      </c>
    </row>
    <row r="20" spans="2:5">
      <c r="B20" s="1197"/>
      <c r="C20" s="1197"/>
      <c r="D20" s="1197"/>
      <c r="E20" s="1197"/>
    </row>
    <row r="21" spans="2:5">
      <c r="B21" s="1197"/>
      <c r="C21" s="1197"/>
      <c r="D21" s="1197"/>
      <c r="E21" s="1197"/>
    </row>
    <row r="22" spans="2:5" ht="47.25">
      <c r="B22" s="1202" t="s">
        <v>1221</v>
      </c>
      <c r="C22" s="1203" t="e">
        <f ca="1">'Economics_Payback '!D83</f>
        <v>#REF!</v>
      </c>
      <c r="D22" s="1204" t="s">
        <v>1650</v>
      </c>
      <c r="E22" s="1197"/>
    </row>
    <row r="23" spans="2:5" s="852" customFormat="1">
      <c r="B23" s="1202"/>
      <c r="C23" s="1205"/>
      <c r="D23" s="1204"/>
      <c r="E23" s="1197"/>
    </row>
    <row r="24" spans="2:5">
      <c r="B24" s="1202"/>
      <c r="C24" s="1197"/>
      <c r="D24" s="1197"/>
      <c r="E24" s="1197"/>
    </row>
    <row r="25" spans="2:5">
      <c r="B25" s="1206" t="str">
        <f>'Economics_Payback '!A85</f>
        <v>NPV</v>
      </c>
      <c r="C25" s="1206" t="str">
        <f ca="1">IFERROR('Economics_Payback '!B85,"")</f>
        <v/>
      </c>
      <c r="D25" s="1197"/>
      <c r="E25" s="1197"/>
    </row>
    <row r="26" spans="2:5">
      <c r="B26" s="52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E38" sqref="E38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1207" t="s">
        <v>794</v>
      </c>
      <c r="B1" s="1163"/>
      <c r="C1" s="834" t="str">
        <f>'N balance'!BV8</f>
        <v>% area mining</v>
      </c>
      <c r="D1" s="834" t="str">
        <f>'N balance'!BW8</f>
        <v>% area leaching</v>
      </c>
      <c r="E1" s="1197"/>
      <c r="F1" s="1197"/>
      <c r="G1" s="1197"/>
      <c r="H1" s="1197"/>
      <c r="I1" s="1197"/>
      <c r="J1" s="1197"/>
    </row>
    <row r="2" spans="1:10">
      <c r="A2" s="1179" t="s">
        <v>967</v>
      </c>
      <c r="B2" s="1208">
        <f>'N balance'!BU6</f>
        <v>-103.54724277392351</v>
      </c>
      <c r="C2" s="1209">
        <f>'N balance'!BV9/100</f>
        <v>0.45465584571375822</v>
      </c>
      <c r="D2" s="1210">
        <f>'N balance'!BW9/100</f>
        <v>0</v>
      </c>
      <c r="E2" s="1197"/>
      <c r="F2" s="1197"/>
      <c r="G2" s="1197"/>
      <c r="H2" s="1197"/>
      <c r="I2" s="1197"/>
      <c r="J2" s="1197"/>
    </row>
    <row r="3" spans="1:10" ht="16.5" thickBot="1">
      <c r="A3" s="1211" t="s">
        <v>968</v>
      </c>
      <c r="B3" s="1212">
        <f>'Soil erosion'!Q3</f>
        <v>14.284277892271302</v>
      </c>
      <c r="C3" s="1197"/>
      <c r="D3" s="1197"/>
      <c r="E3" s="1197"/>
      <c r="F3" s="1197"/>
      <c r="G3" s="1197"/>
      <c r="H3" s="1197"/>
      <c r="I3" s="1197"/>
      <c r="J3" s="1197"/>
    </row>
    <row r="4" spans="1:10">
      <c r="A4" s="1197"/>
      <c r="B4" s="1197"/>
      <c r="C4" s="1197"/>
      <c r="D4" s="1197"/>
      <c r="E4" s="1197"/>
      <c r="F4" s="1197"/>
      <c r="G4" s="1197"/>
      <c r="H4" s="1197"/>
      <c r="I4" s="1197"/>
      <c r="J4" s="1197"/>
    </row>
    <row r="5" spans="1:10" ht="16.5" thickBot="1">
      <c r="A5" s="1197"/>
      <c r="B5" s="1197"/>
      <c r="C5" s="1197"/>
      <c r="D5" s="1197"/>
      <c r="E5" s="1197"/>
      <c r="F5" s="1213"/>
      <c r="G5" s="1197"/>
      <c r="H5" s="1213"/>
      <c r="I5" s="1197"/>
      <c r="J5" s="1197"/>
    </row>
    <row r="6" spans="1:10" s="37" customFormat="1">
      <c r="A6" s="1207" t="s">
        <v>1137</v>
      </c>
      <c r="B6" s="1214"/>
      <c r="C6" s="1214"/>
      <c r="D6" s="1214"/>
      <c r="E6" s="1214"/>
      <c r="F6" s="1215"/>
      <c r="G6" s="1214"/>
      <c r="H6" s="1214"/>
      <c r="I6" s="1214"/>
      <c r="J6" s="1216"/>
    </row>
    <row r="7" spans="1:10" ht="63">
      <c r="A7" s="1140"/>
      <c r="B7" s="1141"/>
      <c r="C7" s="1217" t="s">
        <v>1138</v>
      </c>
      <c r="D7" s="1217" t="s">
        <v>1139</v>
      </c>
      <c r="E7" s="1218" t="s">
        <v>1177</v>
      </c>
      <c r="F7" s="1218" t="s">
        <v>1178</v>
      </c>
      <c r="G7" s="1218" t="s">
        <v>1362</v>
      </c>
      <c r="H7" s="1218" t="s">
        <v>1363</v>
      </c>
      <c r="I7" s="1218" t="s">
        <v>1364</v>
      </c>
      <c r="J7" s="1219" t="s">
        <v>1365</v>
      </c>
    </row>
    <row r="8" spans="1:10">
      <c r="A8" s="1220"/>
      <c r="B8" s="1221"/>
      <c r="C8" s="1183"/>
      <c r="D8" s="1183"/>
      <c r="E8" s="1197"/>
      <c r="F8" s="1197"/>
      <c r="G8" s="1197"/>
      <c r="H8" s="1197"/>
      <c r="I8" s="1197"/>
      <c r="J8" s="1222"/>
    </row>
    <row r="9" spans="1:10">
      <c r="A9" s="1223" t="str">
        <f>INPUTS!C69</f>
        <v>Concentrate (commercial)</v>
      </c>
      <c r="B9" s="1205" t="str">
        <f>'N balance'!A9</f>
        <v>Purchased</v>
      </c>
      <c r="C9" s="1205">
        <f>'N balance'!BL9</f>
        <v>0</v>
      </c>
      <c r="D9" s="1205">
        <f>'N balance'!BM9</f>
        <v>0</v>
      </c>
      <c r="E9" s="1205">
        <f>'N balance'!BN9</f>
        <v>0</v>
      </c>
      <c r="F9" s="1205" t="str">
        <f>'N balance'!BO9</f>
        <v/>
      </c>
      <c r="G9" s="1205">
        <f>'N balance'!BP9</f>
        <v>0</v>
      </c>
      <c r="H9" s="1205" t="str">
        <f>'N balance'!BQ9</f>
        <v/>
      </c>
      <c r="I9" s="1205">
        <f>E9-G9</f>
        <v>0</v>
      </c>
      <c r="J9" s="1224" t="str">
        <f>IFERROR(F9-H9,"")</f>
        <v/>
      </c>
    </row>
    <row r="10" spans="1:10">
      <c r="A10" s="1223" t="str">
        <f>INPUTS!C70</f>
        <v>Pennisetum purpureum - forage</v>
      </c>
      <c r="B10" s="1205" t="str">
        <f>'N balance'!A10</f>
        <v>Pennisetum purpureum</v>
      </c>
      <c r="C10" s="1205">
        <f>'N balance'!BL10</f>
        <v>16.94424361862367</v>
      </c>
      <c r="D10" s="1205">
        <f>'N balance'!BM10</f>
        <v>20.107141079200563</v>
      </c>
      <c r="E10" s="1205">
        <f>'N balance'!BN10</f>
        <v>-3.1628974605768931</v>
      </c>
      <c r="F10" s="1205">
        <f>'N balance'!BO10</f>
        <v>-103.55077289475265</v>
      </c>
      <c r="G10" s="1205">
        <f>'N balance'!BP10</f>
        <v>-3.1628974605768931</v>
      </c>
      <c r="H10" s="1205">
        <f>'N balance'!BQ10</f>
        <v>-103.55077289475265</v>
      </c>
      <c r="I10" s="1205">
        <f t="shared" ref="I10:I15" si="0">E10-G10</f>
        <v>0</v>
      </c>
      <c r="J10" s="1224">
        <f t="shared" ref="J10:J15" si="1">IFERROR(F10-H10,"")</f>
        <v>0</v>
      </c>
    </row>
    <row r="11" spans="1:10">
      <c r="A11" s="1225" t="str">
        <f>INPUTS!C71</f>
        <v>Rhodes grass (Chloris gayana) - forage</v>
      </c>
      <c r="B11" s="1226" t="str">
        <f>'N balance'!A11</f>
        <v>Rhodes</v>
      </c>
      <c r="C11" s="1205">
        <f>'N balance'!BL11</f>
        <v>20.799889997888318</v>
      </c>
      <c r="D11" s="1205">
        <f>'N balance'!BM11</f>
        <v>51.114701190051235</v>
      </c>
      <c r="E11" s="1205">
        <f>'N balance'!BN11</f>
        <v>-30.314811192162917</v>
      </c>
      <c r="F11" s="1205">
        <f>'N balance'!BO11</f>
        <v>-150.07668626692336</v>
      </c>
      <c r="G11" s="1205">
        <f>'N balance'!BP11</f>
        <v>-30.314811192162917</v>
      </c>
      <c r="H11" s="1205">
        <f>'N balance'!BQ11</f>
        <v>-150.07668626692336</v>
      </c>
      <c r="I11" s="1205">
        <f t="shared" si="0"/>
        <v>0</v>
      </c>
      <c r="J11" s="1224">
        <f t="shared" si="1"/>
        <v>0</v>
      </c>
    </row>
    <row r="12" spans="1:10">
      <c r="A12" s="1223" t="str">
        <f>INPUTS!C72</f>
        <v>Guatemala (Tripsacum andersonii) - forage</v>
      </c>
      <c r="B12" s="1205" t="str">
        <f>'N balance'!A12</f>
        <v>Guatemala</v>
      </c>
      <c r="C12" s="1205">
        <f>'N balance'!BL12</f>
        <v>17.784708988287573</v>
      </c>
      <c r="D12" s="1205">
        <f>'N balance'!BM12</f>
        <v>30.636757204449069</v>
      </c>
      <c r="E12" s="1205">
        <f>'N balance'!BN12</f>
        <v>-12.852048216161496</v>
      </c>
      <c r="F12" s="1205">
        <f>'N balance'!BO12</f>
        <v>-189.22937404512575</v>
      </c>
      <c r="G12" s="1205">
        <f>'N balance'!BP12</f>
        <v>-12.852048216161496</v>
      </c>
      <c r="H12" s="1205">
        <f>'N balance'!BQ12</f>
        <v>-189.22937404512575</v>
      </c>
      <c r="I12" s="1205">
        <f t="shared" si="0"/>
        <v>0</v>
      </c>
      <c r="J12" s="1224">
        <f t="shared" si="1"/>
        <v>0</v>
      </c>
    </row>
    <row r="13" spans="1:10">
      <c r="A13" s="1223" t="str">
        <f>INPUTS!C73</f>
        <v>Maize (Zea mays) - stover</v>
      </c>
      <c r="B13" s="1205" t="str">
        <f>'N balance'!A13</f>
        <v>Maize</v>
      </c>
      <c r="C13" s="1205">
        <f>'N balance'!BL13</f>
        <v>46.022406568816287</v>
      </c>
      <c r="D13" s="1205">
        <f>'N balance'!BM13</f>
        <v>39.585190608437642</v>
      </c>
      <c r="E13" s="1205">
        <f>'N balance'!BN13</f>
        <v>6.4372159603786443</v>
      </c>
      <c r="F13" s="1205">
        <f>'N balance'!BO13</f>
        <v>6.6906837076087458</v>
      </c>
      <c r="G13" s="1205">
        <f>'N balance'!BP13</f>
        <v>4.2275864357872077</v>
      </c>
      <c r="H13" s="1205">
        <f>'N balance'!BQ13</f>
        <v>4.3940492073789947</v>
      </c>
      <c r="I13" s="1205">
        <f t="shared" si="0"/>
        <v>2.2096295245914366</v>
      </c>
      <c r="J13" s="1224">
        <f t="shared" si="1"/>
        <v>2.296634500229751</v>
      </c>
    </row>
    <row r="14" spans="1:10">
      <c r="A14" s="1223" t="str">
        <f>INPUTS!C74</f>
        <v xml:space="preserve">Naturally occuring pasture - green fodder </v>
      </c>
      <c r="B14" s="1205" t="str">
        <f>'N balance'!A14</f>
        <v>Natural pasture</v>
      </c>
      <c r="C14" s="1205">
        <f>'N balance'!BL14</f>
        <v>11.281556814656719</v>
      </c>
      <c r="D14" s="1205">
        <f>'N balance'!BM14</f>
        <v>72.726629155466142</v>
      </c>
      <c r="E14" s="1205">
        <f>'N balance'!BN14</f>
        <v>-61.445072340809425</v>
      </c>
      <c r="F14" s="1205">
        <f>'N balance'!BO14</f>
        <v>-122.4827825544924</v>
      </c>
      <c r="G14" s="1205">
        <f>'N balance'!BP14</f>
        <v>-61.445072340809425</v>
      </c>
      <c r="H14" s="1205">
        <f>'N balance'!BQ14</f>
        <v>-122.4827825544924</v>
      </c>
      <c r="I14" s="1205">
        <f t="shared" si="0"/>
        <v>0</v>
      </c>
      <c r="J14" s="1224">
        <f t="shared" si="1"/>
        <v>0</v>
      </c>
    </row>
    <row r="15" spans="1:10" ht="16.5" thickBot="1">
      <c r="A15" s="1227" t="str">
        <f>INPUTS!C75</f>
        <v>N/A</v>
      </c>
      <c r="B15" s="1228" t="str">
        <f>'N balance'!A15</f>
        <v>N/A</v>
      </c>
      <c r="C15" s="1228">
        <f>'N balance'!BL15</f>
        <v>0</v>
      </c>
      <c r="D15" s="1228">
        <f>'N balance'!BM15</f>
        <v>0</v>
      </c>
      <c r="E15" s="1228">
        <f>'N balance'!BN15</f>
        <v>0</v>
      </c>
      <c r="F15" s="1228" t="str">
        <f>'N balance'!BO15</f>
        <v/>
      </c>
      <c r="G15" s="1228">
        <f>'N balance'!BP15</f>
        <v>0</v>
      </c>
      <c r="H15" s="1228" t="str">
        <f>'N balance'!BQ15</f>
        <v/>
      </c>
      <c r="I15" s="1228">
        <f t="shared" si="0"/>
        <v>0</v>
      </c>
      <c r="J15" s="1212" t="str">
        <f t="shared" si="1"/>
        <v/>
      </c>
    </row>
    <row r="16" spans="1:10">
      <c r="A16" s="1205" t="s">
        <v>132</v>
      </c>
      <c r="B16" s="1205"/>
      <c r="C16" s="1205">
        <f>SUM(C9:C15)</f>
        <v>112.83280598827257</v>
      </c>
      <c r="D16" s="1205">
        <f t="shared" ref="D16:I16" si="2">SUM(D9:D15)</f>
        <v>214.17041923760462</v>
      </c>
      <c r="E16" s="1205">
        <f t="shared" si="2"/>
        <v>-101.33761324933208</v>
      </c>
      <c r="F16" s="1205"/>
      <c r="G16" s="1205">
        <f t="shared" si="2"/>
        <v>-103.54724277392351</v>
      </c>
      <c r="H16" s="1205"/>
      <c r="I16" s="1205">
        <f t="shared" si="2"/>
        <v>2.2096295245914366</v>
      </c>
      <c r="J16" s="1205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69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C15" sqref="C15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A1" s="1197"/>
      <c r="B1" s="1229" t="s">
        <v>132</v>
      </c>
      <c r="C1" s="1197"/>
    </row>
    <row r="2" spans="1:3">
      <c r="A2" s="1230" t="str">
        <f>Water!A13</f>
        <v>ET (mm/year)</v>
      </c>
      <c r="B2" s="1231">
        <f>Water!B13</f>
        <v>994.54762783744172</v>
      </c>
      <c r="C2" s="1232"/>
    </row>
    <row r="3" spans="1:3">
      <c r="A3" s="1233" t="str">
        <f>Water!A14</f>
        <v>fraction of precipitation used for feed production</v>
      </c>
      <c r="B3" s="1234">
        <f>Water!B14</f>
        <v>0.71039116274102976</v>
      </c>
      <c r="C3" s="1222"/>
    </row>
    <row r="4" spans="1:3">
      <c r="A4" s="1233" t="str">
        <f>Water!A15</f>
        <v>Total water use (m3)</v>
      </c>
      <c r="B4" s="1235">
        <f>Water!B15</f>
        <v>1754.6176891685586</v>
      </c>
      <c r="C4" s="1222"/>
    </row>
    <row r="5" spans="1:3">
      <c r="A5" s="1233" t="str">
        <f>Water!A16</f>
        <v>Water use (m3/kg FPCM)</v>
      </c>
      <c r="B5" s="1205">
        <f>Water!B16</f>
        <v>0.57933986732324905</v>
      </c>
      <c r="C5" s="1222"/>
    </row>
    <row r="6" spans="1:3">
      <c r="A6" s="1233" t="str">
        <f>Water!A17</f>
        <v>Water use (m3/kg meat)</v>
      </c>
      <c r="B6" s="1205">
        <f>Water!B17</f>
        <v>6.464108787093128</v>
      </c>
      <c r="C6" s="1222"/>
    </row>
    <row r="7" spans="1:3">
      <c r="A7" s="1233" t="str">
        <f>Water!A18</f>
        <v>Water use (m3/kg protein)</v>
      </c>
      <c r="B7" s="1205">
        <f>Water!B18</f>
        <v>10.475879862157285</v>
      </c>
      <c r="C7" s="1222"/>
    </row>
    <row r="8" spans="1:3">
      <c r="A8" s="1233"/>
      <c r="B8" s="1197"/>
      <c r="C8" s="1222"/>
    </row>
    <row r="9" spans="1:3">
      <c r="A9" s="1236" t="s">
        <v>1369</v>
      </c>
      <c r="B9" s="1237" t="s">
        <v>1356</v>
      </c>
      <c r="C9" s="1238" t="s">
        <v>1357</v>
      </c>
    </row>
    <row r="10" spans="1:3">
      <c r="A10" s="1239" t="str">
        <f>INPUTS!C69</f>
        <v>Concentrate (commercial)</v>
      </c>
      <c r="B10" s="1235">
        <f>Water!$B$10</f>
        <v>0</v>
      </c>
      <c r="C10" s="1240">
        <f>Water!$B$11</f>
        <v>0</v>
      </c>
    </row>
    <row r="11" spans="1:3">
      <c r="A11" s="1239" t="str">
        <f>INPUTS!C70</f>
        <v>Pennisetum purpureum - forage</v>
      </c>
      <c r="B11" s="1235">
        <f>Water!$C$10</f>
        <v>40.878604602089965</v>
      </c>
      <c r="C11" s="1240">
        <f>Water!$C$11</f>
        <v>0</v>
      </c>
    </row>
    <row r="12" spans="1:3">
      <c r="A12" s="1239" t="str">
        <f>INPUTS!C71</f>
        <v>Rhodes grass (Chloris gayana) - forage</v>
      </c>
      <c r="B12" s="1235">
        <f>Water!$D$10</f>
        <v>270.33727437197479</v>
      </c>
      <c r="C12" s="1240">
        <f>Water!$D$11</f>
        <v>0</v>
      </c>
    </row>
    <row r="13" spans="1:3">
      <c r="A13" s="1239" t="str">
        <f>INPUTS!C72</f>
        <v>Guatemala (Tripsacum andersonii) - forage</v>
      </c>
      <c r="B13" s="1235">
        <f>Water!$E$10</f>
        <v>90.896694110473305</v>
      </c>
      <c r="C13" s="1240">
        <f>Water!$E$11</f>
        <v>0</v>
      </c>
    </row>
    <row r="14" spans="1:3">
      <c r="A14" s="1239" t="str">
        <f>INPUTS!C73</f>
        <v>Maize (Zea mays) - stover</v>
      </c>
      <c r="B14" s="1235">
        <f>Water!$F$10</f>
        <v>735.30078752317138</v>
      </c>
      <c r="C14" s="1240">
        <f>Water!$F$11</f>
        <v>177.74759637400484</v>
      </c>
    </row>
    <row r="15" spans="1:3">
      <c r="A15" s="1239" t="str">
        <f>INPUTS!C74</f>
        <v xml:space="preserve">Naturally occuring pasture - green fodder </v>
      </c>
      <c r="B15" s="1235">
        <f>Water!$G$10</f>
        <v>439.45673218684425</v>
      </c>
      <c r="C15" s="1240">
        <f>Water!$G$11</f>
        <v>0</v>
      </c>
    </row>
    <row r="16" spans="1:3">
      <c r="A16" s="1239" t="str">
        <f>INPUTS!C75</f>
        <v>N/A</v>
      </c>
      <c r="B16" s="1235">
        <f>Water!$H$10</f>
        <v>0</v>
      </c>
      <c r="C16" s="1240">
        <f>Water!$H$11</f>
        <v>0</v>
      </c>
    </row>
    <row r="17" spans="1:3" ht="16.5" thickBot="1">
      <c r="A17" s="1241" t="s">
        <v>132</v>
      </c>
      <c r="B17" s="1242">
        <f>SUM(B10:B16)</f>
        <v>1576.8700927945536</v>
      </c>
      <c r="C17" s="1243">
        <f>SUM(C10:C16)</f>
        <v>177.74759637400484</v>
      </c>
    </row>
  </sheetData>
  <sheetProtection pivotTable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topLeftCell="A9" zoomScale="70" zoomScaleNormal="70" workbookViewId="0">
      <selection activeCell="B2" sqref="B2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5"/>
      <c r="C1" s="7"/>
      <c r="F1" s="7"/>
      <c r="G1" s="7"/>
    </row>
    <row r="2" spans="1:14" ht="16.5" thickBot="1">
      <c r="B2" s="1244" t="s">
        <v>599</v>
      </c>
      <c r="C2" s="1245"/>
      <c r="D2" s="1245"/>
      <c r="E2" s="1245"/>
      <c r="F2" s="1245"/>
      <c r="G2" s="1246"/>
      <c r="H2" s="12"/>
      <c r="I2" s="1273" t="s">
        <v>791</v>
      </c>
      <c r="J2" s="1274"/>
      <c r="K2" s="1275"/>
      <c r="L2" s="1274"/>
      <c r="M2" s="1274"/>
      <c r="N2" s="1276"/>
    </row>
    <row r="3" spans="1:14" ht="18.75">
      <c r="B3" s="1247"/>
      <c r="C3" s="1248"/>
      <c r="D3" s="1249"/>
      <c r="E3" s="1476" t="s">
        <v>1080</v>
      </c>
      <c r="F3" s="1477"/>
      <c r="G3" s="1250"/>
      <c r="H3" s="12"/>
      <c r="I3" s="1277"/>
      <c r="J3" s="1258"/>
      <c r="K3" s="1278"/>
      <c r="L3" s="1476" t="s">
        <v>1080</v>
      </c>
      <c r="M3" s="1477"/>
      <c r="N3" s="1279"/>
    </row>
    <row r="4" spans="1:14" ht="18.75" thickBot="1">
      <c r="B4" s="1251" t="s">
        <v>376</v>
      </c>
      <c r="C4" s="1252" t="s">
        <v>81</v>
      </c>
      <c r="D4" s="1253" t="s">
        <v>82</v>
      </c>
      <c r="E4" s="1254" t="s">
        <v>1078</v>
      </c>
      <c r="F4" s="1255" t="s">
        <v>1079</v>
      </c>
      <c r="G4" s="1256" t="s">
        <v>83</v>
      </c>
      <c r="H4" s="12"/>
      <c r="I4" s="1251" t="s">
        <v>376</v>
      </c>
      <c r="J4" s="1252" t="s">
        <v>81</v>
      </c>
      <c r="K4" s="1253" t="s">
        <v>82</v>
      </c>
      <c r="L4" s="1280" t="s">
        <v>589</v>
      </c>
      <c r="M4" s="1255" t="s">
        <v>902</v>
      </c>
      <c r="N4" s="1256" t="s">
        <v>83</v>
      </c>
    </row>
    <row r="5" spans="1:14" ht="18.75">
      <c r="B5" s="1257" t="s">
        <v>593</v>
      </c>
      <c r="C5" s="1258" t="s">
        <v>1081</v>
      </c>
      <c r="D5" s="1259">
        <f>'GHG Ent fermentation'!E22/'Land requirements'!F11</f>
        <v>121.86571542338329</v>
      </c>
      <c r="E5" s="1260">
        <f>D5*C26</f>
        <v>3412.240031854732</v>
      </c>
      <c r="F5" s="1261">
        <f>(E5*'Land requirements'!$F$11/'Meat &amp; Milk '!$B$33)</f>
        <v>1.9876842817757079</v>
      </c>
      <c r="G5" s="1262">
        <f>E5*('Land requirements'!F11)/(E$16*'Land requirements'!F11)*100</f>
        <v>76.045043157033987</v>
      </c>
      <c r="H5" s="12"/>
      <c r="I5" s="1281" t="s">
        <v>593</v>
      </c>
      <c r="J5" s="1282" t="s">
        <v>1405</v>
      </c>
      <c r="K5" s="1283">
        <f>'GHG Ent fermentation'!F45/'Land requirements'!F11</f>
        <v>104.2255170984983</v>
      </c>
      <c r="L5" s="1284">
        <f>K5*C$26</f>
        <v>2918.3144787579522</v>
      </c>
      <c r="M5" s="1285">
        <f>(L5*'Land requirements'!$F$11)/'Meat &amp; Milk '!$B$33</f>
        <v>1.699964763484904</v>
      </c>
      <c r="N5" s="1286">
        <f>L5*('Land requirements'!$F$11)/(SUM(L$5:L$14)*'Land requirements'!$F$11)*100</f>
        <v>84.777031227439693</v>
      </c>
    </row>
    <row r="6" spans="1:14" ht="18.75">
      <c r="B6" s="1257" t="s">
        <v>590</v>
      </c>
      <c r="C6" s="1258" t="s">
        <v>1081</v>
      </c>
      <c r="D6" s="1259">
        <f>'GHG Manure'!E23/'Land requirements'!F11</f>
        <v>2.8340864051949604</v>
      </c>
      <c r="E6" s="1260">
        <f>D6*C26</f>
        <v>79.354419345458894</v>
      </c>
      <c r="F6" s="1261">
        <f>(E6*'Land requirements'!$F$11/'Meat &amp; Milk '!$B$33)</f>
        <v>4.6225215855249031E-2</v>
      </c>
      <c r="G6" s="1262">
        <f>E6*('Land requirements'!F11)/(E$16*'Land requirements'!F11)*100</f>
        <v>1.7684893757449767</v>
      </c>
      <c r="H6" s="12"/>
      <c r="I6" s="1281" t="s">
        <v>590</v>
      </c>
      <c r="J6" s="1282" t="s">
        <v>1405</v>
      </c>
      <c r="K6" s="1283">
        <f>'GHG Manure'!P46/'Land requirements'!F11</f>
        <v>15.49049261355084</v>
      </c>
      <c r="L6" s="1284">
        <f>K6*C$26</f>
        <v>433.73379317942351</v>
      </c>
      <c r="M6" s="1285">
        <f>(L6*'Land requirements'!$F$11)/'Meat &amp; Milk '!$B$33</f>
        <v>0.25265685741019961</v>
      </c>
      <c r="N6" s="1286">
        <f>L6*('Land requirements'!$F$11)/(SUM(L$5:L$14)*'Land requirements'!$F$11)*100</f>
        <v>12.599966040814634</v>
      </c>
    </row>
    <row r="7" spans="1:14" ht="18.75">
      <c r="B7" s="1257" t="s">
        <v>591</v>
      </c>
      <c r="C7" s="1258" t="s">
        <v>1082</v>
      </c>
      <c r="D7" s="1259">
        <f>'GHG Manure'!I121/'Land requirements'!F11</f>
        <v>1.6341664083595875</v>
      </c>
      <c r="E7" s="1260">
        <f>D7*C27</f>
        <v>433.05409821529071</v>
      </c>
      <c r="F7" s="1261">
        <f>(E7*'Land requirements'!$F$11/'Meat &amp; Milk '!$B$33)</f>
        <v>0.25226092424488988</v>
      </c>
      <c r="G7" s="1262">
        <f>E7*('Land requirements'!F11)/(E$16*'Land requirements'!F11)*100</f>
        <v>9.6510260944955135</v>
      </c>
      <c r="H7" s="12"/>
      <c r="I7" s="1281" t="s">
        <v>1406</v>
      </c>
      <c r="J7" s="1282" t="s">
        <v>1407</v>
      </c>
      <c r="K7" s="1283">
        <f>'GHG Manure'!J121/'Land requirements'!F11</f>
        <v>0</v>
      </c>
      <c r="L7" s="1284">
        <f>K7*C27</f>
        <v>0</v>
      </c>
      <c r="M7" s="1285">
        <f>(L7*'Land requirements'!$F$11)/'Meat &amp; Milk '!$B$33</f>
        <v>0</v>
      </c>
      <c r="N7" s="1286">
        <f>L7*('Land requirements'!$F$11)/(SUM(L$5:L$14)*'Land requirements'!$F$11)*100</f>
        <v>0</v>
      </c>
    </row>
    <row r="8" spans="1:14" ht="18.75">
      <c r="B8" s="1257" t="s">
        <v>592</v>
      </c>
      <c r="C8" s="1258" t="s">
        <v>1082</v>
      </c>
      <c r="D8" s="1259">
        <f>'GHG Manure'!L144/'Land requirements'!F11</f>
        <v>0.44592114706177455</v>
      </c>
      <c r="E8" s="1260">
        <f>D8*C27</f>
        <v>118.16910397137025</v>
      </c>
      <c r="F8" s="1261">
        <f>(E8*'Land requirements'!$F$11/'Meat &amp; Milk '!$B$33)</f>
        <v>6.8835389176224171E-2</v>
      </c>
      <c r="G8" s="1262">
        <f>E8*('Land requirements'!F11)/(E$16*'Land requirements'!F11)*100</f>
        <v>2.6335118653556235</v>
      </c>
      <c r="H8" s="12"/>
      <c r="I8" s="1281" t="s">
        <v>1408</v>
      </c>
      <c r="J8" s="1282" t="s">
        <v>1407</v>
      </c>
      <c r="K8" s="1283">
        <f>'GHG Manure'!M144/'Land requirements'!F11</f>
        <v>0</v>
      </c>
      <c r="L8" s="1284">
        <f>K8*C27</f>
        <v>0</v>
      </c>
      <c r="M8" s="1285">
        <f>(L8*'Land requirements'!$F$11)/'Meat &amp; Milk '!$B$33</f>
        <v>0</v>
      </c>
      <c r="N8" s="1286">
        <f>L8*('Land requirements'!$F$11)/(SUM(L$5:L$14)*'Land requirements'!$F$11)*100</f>
        <v>0</v>
      </c>
    </row>
    <row r="9" spans="1:14" ht="18.75">
      <c r="B9" s="1257" t="s">
        <v>594</v>
      </c>
      <c r="C9" s="1258" t="s">
        <v>1082</v>
      </c>
      <c r="D9" s="1259">
        <f>'GHG Soil'!B6/'Land requirements'!F11</f>
        <v>1.409855759607801</v>
      </c>
      <c r="E9" s="1260">
        <f>D9*C27</f>
        <v>373.61177629606726</v>
      </c>
      <c r="F9" s="1261">
        <f>(E9*'Land requirements'!$F$11/'Meat &amp; Milk '!$B$33)</f>
        <v>0.21763482296007783</v>
      </c>
      <c r="G9" s="1262">
        <f>E9*('Land requirements'!F11)/(E$16*'Land requirements'!F11)*100</f>
        <v>8.3262969155682498</v>
      </c>
      <c r="H9" s="12"/>
      <c r="I9" s="1281" t="s">
        <v>1409</v>
      </c>
      <c r="J9" s="1282" t="s">
        <v>1407</v>
      </c>
      <c r="K9" s="1283">
        <f>'GHG Soil'!C6/'Land requirements'!F11</f>
        <v>0.30358215798804322</v>
      </c>
      <c r="L9" s="1284">
        <f>K9*C27</f>
        <v>80.449271866831452</v>
      </c>
      <c r="M9" s="1285">
        <f>(L9*'Land requirements'!$F$11)/'Meat &amp; Milk '!$B$33</f>
        <v>4.6862984924036337E-2</v>
      </c>
      <c r="N9" s="1286">
        <f>L9*('Land requirements'!$F$11)/(SUM(L$5:L$14)*'Land requirements'!$F$11)*100</f>
        <v>2.3370512269746491</v>
      </c>
    </row>
    <row r="10" spans="1:14" ht="19.5" customHeight="1">
      <c r="B10" s="1257" t="s">
        <v>595</v>
      </c>
      <c r="C10" s="1258" t="s">
        <v>1082</v>
      </c>
      <c r="D10" s="1259">
        <f>'GHG Soil'!J49/'Land requirements'!F11</f>
        <v>0.25839972335013167</v>
      </c>
      <c r="E10" s="1260">
        <f>D10*C$27</f>
        <v>68.475926687784892</v>
      </c>
      <c r="F10" s="1261">
        <f>(E10*'Land requirements'!$F$11/'Meat &amp; Milk '!$B$33)</f>
        <v>3.9888320249075099E-2</v>
      </c>
      <c r="G10" s="1262">
        <f>E10*('Land requirements'!F11)/(E$16*'Land requirements'!F11)*100</f>
        <v>1.5260517289459501</v>
      </c>
      <c r="H10" s="12"/>
      <c r="I10" s="1281" t="s">
        <v>1410</v>
      </c>
      <c r="J10" s="1282" t="s">
        <v>1407</v>
      </c>
      <c r="K10" s="1283">
        <f>'GHG Soil'!J59/'Land requirements'!F11</f>
        <v>3.7145003026180089E-2</v>
      </c>
      <c r="L10" s="1284">
        <f>K10*C$27</f>
        <v>9.8434258019377232</v>
      </c>
      <c r="M10" s="1285">
        <f>(L10*'Land requirements'!$F$11)/'Meat &amp; Milk '!$B$33</f>
        <v>5.7339526418667885E-3</v>
      </c>
      <c r="N10" s="1286">
        <f>L10*('Land requirements'!$F$11)/(SUM(L$5:L$14)*'Land requirements'!$F$11)*100</f>
        <v>0.28595150477100922</v>
      </c>
    </row>
    <row r="11" spans="1:14" ht="18.75">
      <c r="B11" s="1257" t="s">
        <v>952</v>
      </c>
      <c r="C11" s="1258" t="s">
        <v>1082</v>
      </c>
      <c r="D11" s="1259">
        <f>'GHG Soil'!B68/'Land requirements'!F11</f>
        <v>0</v>
      </c>
      <c r="E11" s="1260">
        <f>D11*C$27</f>
        <v>0</v>
      </c>
      <c r="F11" s="1261">
        <f>(E11*'Land requirements'!$F$11/'Meat &amp; Milk '!$B$33)</f>
        <v>0</v>
      </c>
      <c r="G11" s="1262">
        <f>E11*('Land requirements'!F11)/(E$16*'Land requirements'!F11)*100</f>
        <v>0</v>
      </c>
      <c r="H11" s="12"/>
      <c r="I11" s="1281" t="s">
        <v>1411</v>
      </c>
      <c r="J11" s="1282" t="s">
        <v>1407</v>
      </c>
      <c r="K11" s="1283">
        <f>'GHG Soil'!C68/'Land requirements'!F11</f>
        <v>0</v>
      </c>
      <c r="L11" s="1284">
        <f>K11*C$27</f>
        <v>0</v>
      </c>
      <c r="M11" s="1285">
        <f>(L11*'Land requirements'!$F$11)/'Meat &amp; Milk '!$B$33</f>
        <v>0</v>
      </c>
      <c r="N11" s="1286">
        <f>L11*('Land requirements'!$F$11)/(SUM(L$5:L$14)*'Land requirements'!$F$11)*100</f>
        <v>0</v>
      </c>
    </row>
    <row r="12" spans="1:14" ht="18.75">
      <c r="B12" s="1257" t="s">
        <v>953</v>
      </c>
      <c r="C12" s="1258" t="s">
        <v>1082</v>
      </c>
      <c r="D12" s="1259">
        <f>('GHG Soil'!K74+'GHG Soil'!K75)/'Land requirements'!F11</f>
        <v>0</v>
      </c>
      <c r="E12" s="1260">
        <f>D12*C$27</f>
        <v>0</v>
      </c>
      <c r="F12" s="1261">
        <f>(E12*'Land requirements'!$F$11/'Meat &amp; Milk '!$B$33)</f>
        <v>0</v>
      </c>
      <c r="G12" s="1262">
        <f>E12*('Land requirements'!F11)/(E$16*'Land requirements'!F11)*100</f>
        <v>0</v>
      </c>
      <c r="H12" s="12"/>
      <c r="I12" s="1281" t="s">
        <v>1412</v>
      </c>
      <c r="J12" s="1282" t="s">
        <v>1407</v>
      </c>
      <c r="K12" s="1283">
        <f>('GHG Soil'!K77+'GHG Soil'!K78)/'Land requirements'!F11</f>
        <v>0</v>
      </c>
      <c r="L12" s="1284">
        <f>K12*C$27</f>
        <v>0</v>
      </c>
      <c r="M12" s="1285">
        <f>(L12*'Land requirements'!$F$11)/'Meat &amp; Milk '!$B$33</f>
        <v>0</v>
      </c>
      <c r="N12" s="1286">
        <f>L12*('Land requirements'!$F$11)/(SUM(L$5:L$14)*'Land requirements'!$F$11)*100</f>
        <v>0</v>
      </c>
    </row>
    <row r="13" spans="1:14" ht="18.75">
      <c r="B13" s="1257" t="s">
        <v>893</v>
      </c>
      <c r="C13" s="1258" t="s">
        <v>1082</v>
      </c>
      <c r="D13" s="1259">
        <f>'GHG Burning'!O11*1000/'Land requirements'!F11</f>
        <v>0</v>
      </c>
      <c r="E13" s="1260">
        <f>D13</f>
        <v>0</v>
      </c>
      <c r="F13" s="1261">
        <f>(E13*'Land requirements'!$F$11/'Meat &amp; Milk '!$B$33)</f>
        <v>0</v>
      </c>
      <c r="G13" s="1262">
        <f>E13*('Land requirements'!F11)/(E$16*'Land requirements'!F11)*100</f>
        <v>0</v>
      </c>
      <c r="H13" s="12"/>
      <c r="I13" s="1281" t="s">
        <v>893</v>
      </c>
      <c r="J13" s="1282" t="s">
        <v>1407</v>
      </c>
      <c r="K13" s="1283">
        <f>'GHG Burning'!O11/'Land requirements'!F11*1000</f>
        <v>0</v>
      </c>
      <c r="L13" s="1284">
        <f>K13</f>
        <v>0</v>
      </c>
      <c r="M13" s="1285">
        <f>(L13*'Land requirements'!$F$11)/'Meat &amp; Milk '!$B$33</f>
        <v>0</v>
      </c>
      <c r="N13" s="1286">
        <f>L13*('Land requirements'!$F$11)/(SUM(L$5:L$14)*'Land requirements'!$F$11)*100</f>
        <v>0</v>
      </c>
    </row>
    <row r="14" spans="1:14" ht="18.75">
      <c r="B14" s="1257" t="s">
        <v>596</v>
      </c>
      <c r="C14" s="1258" t="s">
        <v>1081</v>
      </c>
      <c r="D14" s="1259">
        <f>'GHG Rice'!M13/'Land requirements'!F11</f>
        <v>0</v>
      </c>
      <c r="E14" s="1260">
        <f>D14*C26</f>
        <v>0</v>
      </c>
      <c r="F14" s="1261">
        <f>(E14*'Land requirements'!$F$11/'Meat &amp; Milk '!$B$33)</f>
        <v>0</v>
      </c>
      <c r="G14" s="1262">
        <f>E14*('Land requirements'!F11)/(E$16*'Land requirements'!F11)*100</f>
        <v>0</v>
      </c>
      <c r="H14" s="12"/>
      <c r="I14" s="1281" t="s">
        <v>596</v>
      </c>
      <c r="J14" s="1282" t="s">
        <v>1405</v>
      </c>
      <c r="K14" s="1283">
        <f>'GHG Rice'!M13/'Land requirements'!F11</f>
        <v>0</v>
      </c>
      <c r="L14" s="1284">
        <f>K14*C26</f>
        <v>0</v>
      </c>
      <c r="M14" s="1285">
        <f>(L14*'Land requirements'!$F$11)/'Meat &amp; Milk '!$B$33</f>
        <v>0</v>
      </c>
      <c r="N14" s="1286">
        <f>L14*('Land requirements'!$F$11)/(SUM(L$5:L$14)*'Land requirements'!$F$11)*100</f>
        <v>0</v>
      </c>
    </row>
    <row r="15" spans="1:14">
      <c r="B15" s="1263" t="s">
        <v>1044</v>
      </c>
      <c r="C15" s="1264" t="s">
        <v>1083</v>
      </c>
      <c r="D15" s="1265" t="s">
        <v>639</v>
      </c>
      <c r="E15" s="1266">
        <f>'GHG Off-farm'!E10</f>
        <v>2.2247578280780442</v>
      </c>
      <c r="F15" s="1267">
        <f>(E15*'Land requirements'!F11)/'Meat &amp; Milk '!$B$33</f>
        <v>1.295956944513232E-3</v>
      </c>
      <c r="G15" s="1262">
        <f>E15*('Land requirements'!F11)/(E$16*'Land requirements'!F11)*100</f>
        <v>4.9580862855707397E-2</v>
      </c>
      <c r="H15" s="12"/>
      <c r="I15" s="1287" t="s">
        <v>1044</v>
      </c>
      <c r="J15" s="1288" t="s">
        <v>1083</v>
      </c>
      <c r="K15" s="1289" t="s">
        <v>639</v>
      </c>
      <c r="L15" s="1290">
        <f>'GHG Off-farm'!E10</f>
        <v>2.2247578280780442</v>
      </c>
      <c r="M15" s="1289">
        <f>(L15*'Land requirements'!F11)/'Meat &amp; Milk '!$B$33</f>
        <v>1.295956944513232E-3</v>
      </c>
      <c r="N15" s="1286">
        <f>L15*('Land requirements'!F11)/(L$16*'Land requirements'!F11)*100</f>
        <v>6.4587469194127251E-2</v>
      </c>
    </row>
    <row r="16" spans="1:14" ht="16.5" thickBot="1">
      <c r="A16" s="12"/>
      <c r="B16" s="1268" t="s">
        <v>1793</v>
      </c>
      <c r="C16" s="1269"/>
      <c r="D16" s="1270"/>
      <c r="E16" s="1271">
        <f>SUM(E5:E14)+E15</f>
        <v>4487.1301141987815</v>
      </c>
      <c r="F16" s="1271">
        <f>(E16*'Land requirements'!F11)/'Meat &amp; Milk '!$B$33</f>
        <v>2.6138249112057372</v>
      </c>
      <c r="G16" s="1272">
        <f>E16*('Land requirements'!F11)/(E$16*'Land requirements'!F11)*100</f>
        <v>100</v>
      </c>
      <c r="H16" s="12"/>
      <c r="I16" s="1268" t="s">
        <v>1793</v>
      </c>
      <c r="J16" s="1291"/>
      <c r="K16" s="1292"/>
      <c r="L16" s="1271">
        <f>SUM(L5:L14)+L15</f>
        <v>3444.5657274342234</v>
      </c>
      <c r="M16" s="1293">
        <f>(L16*'Land requirements'!F11)/'Meat &amp; Milk '!$B$33</f>
        <v>2.0065145154055197</v>
      </c>
      <c r="N16" s="1294">
        <f>L16*('Land requirements'!F11)/(L$16*'Land requirements'!F11)*100</f>
        <v>100</v>
      </c>
    </row>
    <row r="17" spans="2:14">
      <c r="D17"/>
      <c r="E17"/>
      <c r="M17" s="144"/>
      <c r="N17" s="144"/>
    </row>
    <row r="18" spans="2:14">
      <c r="D18"/>
      <c r="E18"/>
      <c r="M18" s="144"/>
      <c r="N18" s="144"/>
    </row>
    <row r="19" spans="2:14">
      <c r="D19"/>
      <c r="E19"/>
      <c r="M19" s="144"/>
      <c r="N19" s="144"/>
    </row>
    <row r="20" spans="2:14">
      <c r="D20"/>
      <c r="E20"/>
      <c r="M20" s="144"/>
      <c r="N20" s="144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202" t="s">
        <v>88</v>
      </c>
      <c r="C25" s="1197"/>
      <c r="D25" s="1295"/>
    </row>
    <row r="26" spans="2:14">
      <c r="B26" s="1202" t="s">
        <v>84</v>
      </c>
      <c r="C26" s="1197">
        <v>28</v>
      </c>
      <c r="D26" s="1295"/>
      <c r="F26" s="7"/>
      <c r="G26" s="7"/>
    </row>
    <row r="27" spans="2:14">
      <c r="B27" s="1202" t="s">
        <v>87</v>
      </c>
      <c r="C27" s="1197">
        <v>265</v>
      </c>
      <c r="D27" s="1295"/>
      <c r="F27" s="7"/>
      <c r="G27" s="7"/>
    </row>
    <row r="28" spans="2:14">
      <c r="B28" s="1296"/>
      <c r="C28" s="1297" t="s">
        <v>97</v>
      </c>
      <c r="D28" s="1297" t="s">
        <v>486</v>
      </c>
    </row>
    <row r="29" spans="2:14" s="30" customFormat="1">
      <c r="B29" s="1296" t="s">
        <v>597</v>
      </c>
      <c r="C29" s="1298" t="s">
        <v>1074</v>
      </c>
      <c r="D29" s="1298" t="s">
        <v>1074</v>
      </c>
    </row>
    <row r="30" spans="2:14" s="30" customFormat="1">
      <c r="B30" s="1296" t="s">
        <v>600</v>
      </c>
      <c r="C30" s="1299">
        <f>(E9+E10)/1000</f>
        <v>0.44208770298385219</v>
      </c>
      <c r="D30" s="1299">
        <f>(L9+L10)/1000</f>
        <v>9.0292697668769184E-2</v>
      </c>
    </row>
    <row r="31" spans="2:14" s="30" customFormat="1">
      <c r="B31" s="1296" t="s">
        <v>954</v>
      </c>
      <c r="C31" s="1299">
        <f>(E11+E12)/1000</f>
        <v>0</v>
      </c>
      <c r="D31" s="1299">
        <f>(L11+L12)/1000</f>
        <v>0</v>
      </c>
    </row>
    <row r="32" spans="2:14" s="30" customFormat="1">
      <c r="B32" s="1296" t="s">
        <v>1084</v>
      </c>
      <c r="C32" s="1299">
        <f>(E6+E7+E8)/1000</f>
        <v>0.63057762153211983</v>
      </c>
      <c r="D32" s="1299">
        <f>(L6+L7+L8)/1000</f>
        <v>0.43373379317942351</v>
      </c>
    </row>
    <row r="33" spans="2:5" s="30" customFormat="1">
      <c r="B33" s="1296" t="s">
        <v>1085</v>
      </c>
      <c r="C33" s="1299">
        <f>E5/1000</f>
        <v>3.4122400318547319</v>
      </c>
      <c r="D33" s="1299">
        <f>L5/1000</f>
        <v>2.918314478757952</v>
      </c>
    </row>
    <row r="34" spans="2:5" s="30" customFormat="1">
      <c r="B34" s="1296" t="s">
        <v>893</v>
      </c>
      <c r="C34" s="1299">
        <f>D13/1000</f>
        <v>0</v>
      </c>
      <c r="D34" s="1299">
        <f>K13/1000</f>
        <v>0</v>
      </c>
    </row>
    <row r="35" spans="2:5" s="30" customFormat="1">
      <c r="B35" s="1296" t="s">
        <v>645</v>
      </c>
      <c r="C35" s="1299">
        <f>E14/1000</f>
        <v>0</v>
      </c>
      <c r="D35" s="1299">
        <f>L14/1000</f>
        <v>0</v>
      </c>
    </row>
    <row r="36" spans="2:5" s="30" customFormat="1">
      <c r="B36" s="1300" t="s">
        <v>1044</v>
      </c>
      <c r="C36" s="1299">
        <f>E15/1000</f>
        <v>2.224757828078044E-3</v>
      </c>
      <c r="D36" s="1299">
        <f>L15/1000</f>
        <v>2.224757828078044E-3</v>
      </c>
    </row>
    <row r="37" spans="2:5" s="30" customFormat="1">
      <c r="B37" s="1301" t="s">
        <v>643</v>
      </c>
      <c r="C37" s="1302">
        <f>SUM(C30:C35)</f>
        <v>4.484905356370704</v>
      </c>
      <c r="D37" s="1302">
        <f>SUM(D30:D35)</f>
        <v>3.4423409696061444</v>
      </c>
    </row>
    <row r="38" spans="2:5">
      <c r="B38" s="1202"/>
      <c r="C38" s="1197"/>
      <c r="D38" s="1197"/>
      <c r="E38"/>
    </row>
    <row r="39" spans="2:5">
      <c r="B39" s="1202"/>
      <c r="C39" s="1197"/>
      <c r="D39" s="1197"/>
      <c r="E39"/>
    </row>
    <row r="40" spans="2:5">
      <c r="B40" s="1202"/>
      <c r="C40" s="1197"/>
      <c r="D40" s="1197"/>
      <c r="E40"/>
    </row>
    <row r="41" spans="2:5">
      <c r="B41" s="1303" t="s">
        <v>908</v>
      </c>
      <c r="C41" s="1199"/>
      <c r="D41" s="1199" t="s">
        <v>409</v>
      </c>
      <c r="E41"/>
    </row>
    <row r="42" spans="2:5">
      <c r="B42" s="1304" t="s">
        <v>909</v>
      </c>
      <c r="C42" s="1298" t="s">
        <v>1075</v>
      </c>
      <c r="D42" s="1304">
        <f>D37*'Land requirements'!F11</f>
        <v>6.0731051870829278</v>
      </c>
      <c r="E42"/>
    </row>
    <row r="43" spans="2:5">
      <c r="B43" s="1302" t="s">
        <v>909</v>
      </c>
      <c r="C43" s="1305" t="s">
        <v>1076</v>
      </c>
      <c r="D43" s="1304">
        <f>D37</f>
        <v>3.4423409696061444</v>
      </c>
      <c r="E43"/>
    </row>
    <row r="44" spans="2:5" ht="31.5">
      <c r="B44" s="1302" t="s">
        <v>910</v>
      </c>
      <c r="C44" s="1305" t="s">
        <v>1077</v>
      </c>
      <c r="D44" s="1304">
        <f>D42*1000/'Meat &amp; Milk '!B33</f>
        <v>2.0052185584610065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sheetProtection selectLockedCells="1" pivotTables="0"/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abSelected="1" topLeftCell="A9" zoomScale="60" zoomScaleNormal="60" workbookViewId="0">
      <selection activeCell="G9" sqref="G9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360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360"/>
      <c r="C3" s="1306" t="s">
        <v>1099</v>
      </c>
      <c r="D3" s="1307"/>
      <c r="E3" s="1308"/>
      <c r="F3" s="1306" t="s">
        <v>1100</v>
      </c>
      <c r="G3" s="1307"/>
      <c r="H3" s="1309"/>
      <c r="I3" s="1306" t="s">
        <v>1098</v>
      </c>
      <c r="J3" s="1310" t="s">
        <v>1101</v>
      </c>
      <c r="K3" s="1307" t="s">
        <v>1111</v>
      </c>
    </row>
    <row r="4" spans="2:11">
      <c r="B4" s="360"/>
      <c r="C4" s="1311"/>
      <c r="D4" s="1312"/>
      <c r="E4" s="1313"/>
      <c r="F4" s="1311"/>
      <c r="G4" s="1312"/>
      <c r="H4" s="1309"/>
      <c r="I4" s="1311"/>
      <c r="J4" s="1314"/>
      <c r="K4" s="1312"/>
    </row>
    <row r="5" spans="2:11">
      <c r="B5" s="360"/>
      <c r="C5" s="1315" t="s">
        <v>1116</v>
      </c>
      <c r="D5" s="1316"/>
      <c r="E5" s="1317"/>
      <c r="F5" s="1315"/>
      <c r="G5" s="1316"/>
      <c r="H5" s="1309"/>
      <c r="I5" s="1318" t="s">
        <v>1116</v>
      </c>
      <c r="J5" s="1319"/>
      <c r="K5" s="1320"/>
    </row>
    <row r="6" spans="2:11">
      <c r="B6" s="360"/>
      <c r="C6" s="1321" t="s">
        <v>1117</v>
      </c>
      <c r="D6" s="1322">
        <f>'Land requirements'!$F$11</f>
        <v>1.7642369656884345</v>
      </c>
      <c r="E6" s="1308"/>
      <c r="F6" s="1321"/>
      <c r="G6" s="1322"/>
      <c r="H6" s="1309"/>
      <c r="I6" s="1321" t="s">
        <v>1582</v>
      </c>
      <c r="J6" s="1323">
        <f>IFERROR(D6/D9,0)*1000</f>
        <v>0.58251596113398185</v>
      </c>
      <c r="K6" s="1324">
        <f>IFERROR(D6/D10,0)*1000</f>
        <v>0.66498933492954759</v>
      </c>
    </row>
    <row r="7" spans="2:11">
      <c r="B7" s="360"/>
      <c r="C7" s="1325"/>
      <c r="D7" s="1326"/>
      <c r="E7" s="1309"/>
      <c r="F7" s="1327"/>
      <c r="G7" s="1328"/>
      <c r="H7" s="1309"/>
      <c r="I7" s="1325"/>
      <c r="J7" s="1329"/>
      <c r="K7" s="1330"/>
    </row>
    <row r="8" spans="2:11">
      <c r="B8" s="360"/>
      <c r="C8" s="1331" t="s">
        <v>1114</v>
      </c>
      <c r="D8" s="1326"/>
      <c r="E8" s="1309"/>
      <c r="F8" s="1331" t="s">
        <v>1114</v>
      </c>
      <c r="G8" s="1332"/>
      <c r="H8" s="1309"/>
      <c r="I8" s="1331" t="s">
        <v>1114</v>
      </c>
      <c r="J8" s="1329"/>
      <c r="K8" s="1330"/>
    </row>
    <row r="9" spans="2:11">
      <c r="B9" s="360"/>
      <c r="C9" s="1325" t="s">
        <v>1091</v>
      </c>
      <c r="D9" s="1333">
        <f>Productivity!$B$14</f>
        <v>3028.6500000000005</v>
      </c>
      <c r="E9" s="1309"/>
      <c r="F9" s="1325" t="s">
        <v>1118</v>
      </c>
      <c r="G9" s="1333">
        <f>D9/D6</f>
        <v>1716.6911582187438</v>
      </c>
      <c r="H9" s="1309"/>
      <c r="I9" s="1334" t="s">
        <v>1583</v>
      </c>
      <c r="J9" s="1329"/>
      <c r="K9" s="1330"/>
    </row>
    <row r="10" spans="2:11">
      <c r="B10" s="360"/>
      <c r="C10" s="1325" t="s">
        <v>1115</v>
      </c>
      <c r="D10" s="1333">
        <f>D9*(1-INPUTS!D49/100)</f>
        <v>2653.0304668350009</v>
      </c>
      <c r="E10" s="1309"/>
      <c r="F10" s="1325" t="s">
        <v>1428</v>
      </c>
      <c r="G10" s="1333">
        <f>D10/D6</f>
        <v>1503.7835157250231</v>
      </c>
      <c r="H10" s="1309"/>
      <c r="I10" s="1334" t="s">
        <v>1583</v>
      </c>
      <c r="J10" s="1329"/>
      <c r="K10" s="1330"/>
    </row>
    <row r="11" spans="2:11">
      <c r="B11" s="360"/>
      <c r="C11" s="1325" t="s">
        <v>1438</v>
      </c>
      <c r="D11" s="1333">
        <f>Productivity!$B$15</f>
        <v>271.44</v>
      </c>
      <c r="E11" s="1309"/>
      <c r="F11" s="1325" t="s">
        <v>1440</v>
      </c>
      <c r="G11" s="1333">
        <f>D11/D6</f>
        <v>153.85688276522401</v>
      </c>
      <c r="H11" s="1309"/>
      <c r="I11" s="1334" t="s">
        <v>1583</v>
      </c>
      <c r="J11" s="1329"/>
      <c r="K11" s="1330"/>
    </row>
    <row r="12" spans="2:11">
      <c r="B12" s="360"/>
      <c r="C12" s="1325" t="s">
        <v>1439</v>
      </c>
      <c r="D12" s="1333">
        <f>D11*(1-INPUTS!E49/100)</f>
        <v>237.77544117600002</v>
      </c>
      <c r="E12" s="1309"/>
      <c r="F12" s="1325" t="s">
        <v>1441</v>
      </c>
      <c r="G12" s="1333">
        <f>D12/D6</f>
        <v>134.77522906522714</v>
      </c>
      <c r="H12" s="1309"/>
      <c r="I12" s="1334" t="s">
        <v>1583</v>
      </c>
      <c r="J12" s="1329"/>
      <c r="K12" s="1330"/>
    </row>
    <row r="13" spans="2:11">
      <c r="B13" s="360"/>
      <c r="C13" s="1325" t="s">
        <v>1425</v>
      </c>
      <c r="D13" s="1333">
        <f>Productivity!D17</f>
        <v>167.49120000000002</v>
      </c>
      <c r="E13" s="1309"/>
      <c r="F13" s="1325" t="s">
        <v>1429</v>
      </c>
      <c r="G13" s="1333">
        <f>D13/D6</f>
        <v>94.936906581958041</v>
      </c>
      <c r="H13" s="1309"/>
      <c r="I13" s="1334" t="s">
        <v>1583</v>
      </c>
      <c r="J13" s="1329"/>
      <c r="K13" s="1330"/>
    </row>
    <row r="14" spans="2:11">
      <c r="B14" s="360"/>
      <c r="C14" s="1325"/>
      <c r="D14" s="1333"/>
      <c r="E14" s="1335"/>
      <c r="F14" s="1336"/>
      <c r="G14" s="1333"/>
      <c r="H14" s="1309"/>
      <c r="I14" s="1325"/>
      <c r="J14" s="1329"/>
      <c r="K14" s="1330"/>
    </row>
    <row r="15" spans="2:11">
      <c r="B15" s="360"/>
      <c r="C15" s="1331" t="s">
        <v>831</v>
      </c>
      <c r="D15" s="1326"/>
      <c r="E15" s="1335"/>
      <c r="F15" s="1331" t="s">
        <v>831</v>
      </c>
      <c r="G15" s="1333"/>
      <c r="H15" s="1309"/>
      <c r="I15" s="1331" t="s">
        <v>831</v>
      </c>
      <c r="J15" s="1309"/>
      <c r="K15" s="1337"/>
    </row>
    <row r="16" spans="2:11">
      <c r="B16" s="360"/>
      <c r="C16" s="1336" t="s">
        <v>1057</v>
      </c>
      <c r="D16" s="1338">
        <f>'Soil impacts'!$B$2</f>
        <v>-103.54724277392351</v>
      </c>
      <c r="E16" s="1309"/>
      <c r="F16" s="1336" t="s">
        <v>1060</v>
      </c>
      <c r="G16" s="1339">
        <f>D16/D6</f>
        <v>-58.692366608199748</v>
      </c>
      <c r="H16" s="1309"/>
      <c r="I16" s="1336" t="s">
        <v>1090</v>
      </c>
      <c r="J16" s="1340">
        <f>IFERROR(D16/D9,0)</f>
        <v>-3.4189240346003499E-2</v>
      </c>
      <c r="K16" s="1341">
        <f>IFERROR(D16/D10,0)</f>
        <v>-3.9029797836227939E-2</v>
      </c>
    </row>
    <row r="17" spans="2:11">
      <c r="B17" s="360"/>
      <c r="C17" s="1336" t="s">
        <v>1348</v>
      </c>
      <c r="D17" s="1342">
        <f>'Soil impacts'!$C$2</f>
        <v>0.45465584571375822</v>
      </c>
      <c r="E17" s="1309"/>
      <c r="F17" s="1334" t="s">
        <v>1583</v>
      </c>
      <c r="G17" s="1339"/>
      <c r="H17" s="1309"/>
      <c r="I17" s="1334" t="s">
        <v>1583</v>
      </c>
      <c r="J17" s="1340"/>
      <c r="K17" s="1341"/>
    </row>
    <row r="18" spans="2:11">
      <c r="B18" s="360"/>
      <c r="C18" s="1336" t="s">
        <v>1349</v>
      </c>
      <c r="D18" s="1342">
        <f>'Soil impacts'!$D$2</f>
        <v>0</v>
      </c>
      <c r="E18" s="1309"/>
      <c r="F18" s="1334" t="s">
        <v>1583</v>
      </c>
      <c r="G18" s="1339"/>
      <c r="H18" s="1309"/>
      <c r="I18" s="1334" t="s">
        <v>1583</v>
      </c>
      <c r="J18" s="1340"/>
      <c r="K18" s="1341"/>
    </row>
    <row r="19" spans="2:11">
      <c r="B19" s="360"/>
      <c r="C19" s="1336"/>
      <c r="D19" s="1332"/>
      <c r="E19" s="1309"/>
      <c r="F19" s="1336"/>
      <c r="G19" s="1339"/>
      <c r="H19" s="1309"/>
      <c r="I19" s="1336"/>
      <c r="J19" s="1309"/>
      <c r="K19" s="1341"/>
    </row>
    <row r="20" spans="2:11">
      <c r="B20" s="360"/>
      <c r="C20" s="1331" t="s">
        <v>1058</v>
      </c>
      <c r="D20" s="1326"/>
      <c r="E20" s="1309"/>
      <c r="F20" s="1343" t="s">
        <v>1058</v>
      </c>
      <c r="G20" s="1333"/>
      <c r="H20" s="1309"/>
      <c r="I20" s="1331" t="s">
        <v>1058</v>
      </c>
      <c r="J20" s="1335"/>
      <c r="K20" s="1341"/>
    </row>
    <row r="21" spans="2:11">
      <c r="B21" s="360"/>
      <c r="C21" s="1336" t="s">
        <v>1059</v>
      </c>
      <c r="D21" s="1344">
        <f>'Soil impacts'!$B$3</f>
        <v>14.284277892271302</v>
      </c>
      <c r="E21" s="1309"/>
      <c r="F21" s="1345" t="s">
        <v>1061</v>
      </c>
      <c r="G21" s="1344">
        <f>D21/D6</f>
        <v>8.0965755565026036</v>
      </c>
      <c r="H21" s="1309"/>
      <c r="I21" s="1346" t="s">
        <v>1094</v>
      </c>
      <c r="J21" s="1335">
        <f>IFERROR(D21/D9,0)*1000</f>
        <v>4.7163844921900182</v>
      </c>
      <c r="K21" s="1347">
        <f>IFERROR(D21/D10,0)*1000</f>
        <v>5.3841363945254983</v>
      </c>
    </row>
    <row r="22" spans="2:11">
      <c r="B22" s="360"/>
      <c r="C22" s="1336"/>
      <c r="D22" s="1344"/>
      <c r="E22" s="1309"/>
      <c r="F22" s="1336"/>
      <c r="G22" s="1333"/>
      <c r="H22" s="1309"/>
      <c r="I22" s="1346"/>
      <c r="J22" s="1335"/>
      <c r="K22" s="1347"/>
    </row>
    <row r="23" spans="2:11">
      <c r="B23" s="360"/>
      <c r="C23" s="1331" t="s">
        <v>957</v>
      </c>
      <c r="D23" s="1326"/>
      <c r="E23" s="1309"/>
      <c r="F23" s="1331" t="s">
        <v>974</v>
      </c>
      <c r="G23" s="1333"/>
      <c r="H23" s="1309"/>
      <c r="I23" s="1331" t="s">
        <v>957</v>
      </c>
      <c r="J23" s="1309"/>
      <c r="K23" s="1341"/>
    </row>
    <row r="24" spans="2:11">
      <c r="B24" s="360"/>
      <c r="C24" s="1336" t="s">
        <v>961</v>
      </c>
      <c r="D24" s="1348">
        <f>'GHG emissions'!$D$42</f>
        <v>6.0731051870829278</v>
      </c>
      <c r="E24" s="1349"/>
      <c r="F24" s="1336" t="s">
        <v>1119</v>
      </c>
      <c r="G24" s="1348">
        <f>D24/D6</f>
        <v>3.4423409696061444</v>
      </c>
      <c r="H24" s="1309"/>
      <c r="I24" s="1336" t="s">
        <v>1103</v>
      </c>
      <c r="J24" s="1335">
        <f>IFERROR(D24/D9,0)*1000</f>
        <v>2.0052185584610061</v>
      </c>
      <c r="K24" s="1347">
        <f>IFERROR(D24/D10,0)*1000</f>
        <v>2.2891200319791243</v>
      </c>
    </row>
    <row r="25" spans="2:11">
      <c r="B25" s="360"/>
      <c r="C25" s="1336"/>
      <c r="D25" s="1348"/>
      <c r="E25" s="1349"/>
      <c r="F25" s="1336"/>
      <c r="G25" s="1348"/>
      <c r="H25" s="1309"/>
      <c r="I25" s="1336" t="s">
        <v>1459</v>
      </c>
      <c r="J25" s="1335">
        <f>IFERROR(D24/D11*1000,0)</f>
        <v>22.373656008999884</v>
      </c>
      <c r="K25" s="1347">
        <f>IFERROR(D24/D12*1000,0)</f>
        <v>25.541347571668052</v>
      </c>
    </row>
    <row r="26" spans="2:11">
      <c r="B26" s="360"/>
      <c r="C26" s="1331" t="s">
        <v>1469</v>
      </c>
      <c r="D26" s="1348"/>
      <c r="E26" s="1349"/>
      <c r="F26" s="1331" t="s">
        <v>1469</v>
      </c>
      <c r="G26" s="1348"/>
      <c r="H26" s="1309"/>
      <c r="I26" s="1336" t="s">
        <v>1458</v>
      </c>
      <c r="J26" s="1335">
        <f>IFERROR(D24/D13*1000,0)</f>
        <v>36.259249364043768</v>
      </c>
      <c r="K26" s="1347"/>
    </row>
    <row r="27" spans="2:11">
      <c r="B27" s="360"/>
      <c r="C27" s="1233" t="s">
        <v>1584</v>
      </c>
      <c r="D27" s="1350">
        <f>Water!B14*100</f>
        <v>71.03911627410298</v>
      </c>
      <c r="E27" s="1349"/>
      <c r="F27" s="1336" t="s">
        <v>1471</v>
      </c>
      <c r="G27" s="1348">
        <f>D28/D6</f>
        <v>994.54762783744172</v>
      </c>
      <c r="H27" s="1309"/>
      <c r="I27" s="1336"/>
      <c r="J27" s="1335"/>
      <c r="K27" s="1347"/>
    </row>
    <row r="28" spans="2:11">
      <c r="B28" s="360"/>
      <c r="C28" s="1336" t="s">
        <v>1470</v>
      </c>
      <c r="D28" s="1351">
        <f>'Water Impacts'!$B$4</f>
        <v>1754.6176891685586</v>
      </c>
      <c r="E28" s="1349"/>
      <c r="F28" s="1336"/>
      <c r="G28" s="1348"/>
      <c r="H28" s="1309"/>
      <c r="I28" s="1331" t="s">
        <v>1472</v>
      </c>
      <c r="J28" s="1309"/>
      <c r="K28" s="1332"/>
    </row>
    <row r="29" spans="2:11">
      <c r="B29" s="360"/>
      <c r="C29" s="1336"/>
      <c r="D29" s="1348"/>
      <c r="E29" s="1309"/>
      <c r="F29" s="1331" t="s">
        <v>1413</v>
      </c>
      <c r="G29" s="1348"/>
      <c r="H29" s="1309"/>
      <c r="I29" s="1325" t="s">
        <v>1474</v>
      </c>
      <c r="J29" s="1335">
        <f>IFERROR('Water Impacts'!$B$5,0)</f>
        <v>0.57933986732324905</v>
      </c>
      <c r="K29" s="1347">
        <f>IFERROR('Water Impacts'!$B$5*(D9/D10),0)</f>
        <v>0.66136356559137954</v>
      </c>
    </row>
    <row r="30" spans="2:11">
      <c r="B30" s="360"/>
      <c r="C30" s="1331" t="s">
        <v>1413</v>
      </c>
      <c r="D30" s="1348"/>
      <c r="E30" s="1309"/>
      <c r="F30" s="1336" t="s">
        <v>1427</v>
      </c>
      <c r="G30" s="1339">
        <f>D31/D6</f>
        <v>1.3137010555388227</v>
      </c>
      <c r="H30" s="1309"/>
      <c r="I30" s="1325" t="s">
        <v>1473</v>
      </c>
      <c r="J30" s="1335">
        <f>IFERROR('Water Impacts'!$B$6,0)</f>
        <v>6.464108787093128</v>
      </c>
      <c r="K30" s="1347">
        <f>IFERROR('Water Impacts'!$B$6*(D9/D10),0)</f>
        <v>7.3793057873870183</v>
      </c>
    </row>
    <row r="31" spans="2:11">
      <c r="B31" s="360"/>
      <c r="C31" s="1336" t="s">
        <v>961</v>
      </c>
      <c r="D31" s="1344">
        <f>SOC!$G$53+Biomass!$R$33</f>
        <v>2.3176799640455061</v>
      </c>
      <c r="E31" s="1309"/>
      <c r="F31" s="1336"/>
      <c r="G31" s="1333"/>
      <c r="H31" s="1309"/>
      <c r="I31" s="1325" t="s">
        <v>1475</v>
      </c>
      <c r="J31" s="1335">
        <f>'Water Impacts'!$B$7</f>
        <v>10.475879862157285</v>
      </c>
      <c r="K31" s="1347">
        <f>'Water Impacts'!$B$7*(D9/D10)</f>
        <v>11.959068673030773</v>
      </c>
    </row>
    <row r="32" spans="2:11">
      <c r="B32" s="72"/>
      <c r="C32" s="1336"/>
      <c r="D32" s="1326"/>
      <c r="E32" s="1309"/>
      <c r="F32" s="1331" t="s">
        <v>962</v>
      </c>
      <c r="G32" s="1333"/>
      <c r="H32" s="1309"/>
      <c r="I32" s="1331"/>
      <c r="J32" s="1335"/>
      <c r="K32" s="1347"/>
    </row>
    <row r="33" spans="2:11">
      <c r="B33" s="72"/>
      <c r="C33" s="1331" t="s">
        <v>962</v>
      </c>
      <c r="D33" s="1326"/>
      <c r="E33" s="1309"/>
      <c r="F33" s="1336" t="s">
        <v>1442</v>
      </c>
      <c r="G33" s="1352">
        <f>D34/D6</f>
        <v>1665190.4234721814</v>
      </c>
      <c r="H33" s="1309"/>
      <c r="I33" s="1331" t="s">
        <v>1413</v>
      </c>
      <c r="J33" s="1309"/>
      <c r="K33" s="1332"/>
    </row>
    <row r="34" spans="2:11">
      <c r="B34" s="72"/>
      <c r="C34" s="1336" t="s">
        <v>1430</v>
      </c>
      <c r="D34" s="1333">
        <f>Productivity!C14</f>
        <v>2937790.5000000005</v>
      </c>
      <c r="E34" s="1309"/>
      <c r="F34" s="1336" t="s">
        <v>1443</v>
      </c>
      <c r="G34" s="1352">
        <f>D35/D6</f>
        <v>338485.14208349283</v>
      </c>
      <c r="H34" s="1309"/>
      <c r="I34" s="1336" t="s">
        <v>1103</v>
      </c>
      <c r="J34" s="1335">
        <f>IFERROR(D31*1000/D9,0)</f>
        <v>0.76525183300992372</v>
      </c>
      <c r="K34" s="1347">
        <f>IFERROR(D31*1000/D10,0)</f>
        <v>0.87359719121900636</v>
      </c>
    </row>
    <row r="35" spans="2:11">
      <c r="B35" s="72"/>
      <c r="C35" s="1336" t="s">
        <v>1431</v>
      </c>
      <c r="D35" s="1333">
        <f>Productivity!C15</f>
        <v>597168</v>
      </c>
      <c r="E35" s="1309"/>
      <c r="F35" s="1336" t="s">
        <v>1444</v>
      </c>
      <c r="G35" s="1352">
        <f>SUM(G33:G34)</f>
        <v>2003675.5655556743</v>
      </c>
      <c r="H35" s="1309"/>
      <c r="I35" s="1336"/>
      <c r="J35" s="1335"/>
      <c r="K35" s="1332"/>
    </row>
    <row r="36" spans="2:11">
      <c r="B36" s="72"/>
      <c r="C36" s="1346" t="s">
        <v>1426</v>
      </c>
      <c r="D36" s="1333">
        <f>SUM(D34:D35)</f>
        <v>3534958.5000000005</v>
      </c>
      <c r="E36" s="1309"/>
      <c r="F36" s="1336"/>
      <c r="G36" s="1352"/>
      <c r="H36" s="1309"/>
      <c r="I36" s="1331" t="s">
        <v>1586</v>
      </c>
      <c r="J36" s="1309"/>
      <c r="K36" s="1332"/>
    </row>
    <row r="37" spans="2:11">
      <c r="B37" s="72"/>
      <c r="C37" s="1336"/>
      <c r="D37" s="1326"/>
      <c r="E37" s="1309"/>
      <c r="F37" s="1336"/>
      <c r="G37" s="1352"/>
      <c r="H37" s="1309"/>
      <c r="I37" s="1336" t="s">
        <v>1103</v>
      </c>
      <c r="J37" s="1335">
        <f>J24-J34</f>
        <v>1.2399667254510822</v>
      </c>
      <c r="K37" s="1347">
        <f>K24-K34</f>
        <v>1.4155228407601179</v>
      </c>
    </row>
    <row r="38" spans="2:11" ht="16.5" thickBot="1">
      <c r="B38" s="72"/>
      <c r="C38" s="1336" t="s">
        <v>1432</v>
      </c>
      <c r="D38" s="1333">
        <f>Productivity!F14</f>
        <v>1175.1162000000002</v>
      </c>
      <c r="E38" s="1309"/>
      <c r="F38" s="1336" t="s">
        <v>1445</v>
      </c>
      <c r="G38" s="1352">
        <f>D38/D6</f>
        <v>666.07616938887247</v>
      </c>
      <c r="H38" s="1309"/>
      <c r="I38" s="1353"/>
      <c r="J38" s="1354"/>
      <c r="K38" s="1355"/>
    </row>
    <row r="39" spans="2:11">
      <c r="B39" s="72"/>
      <c r="C39" s="1336" t="s">
        <v>1433</v>
      </c>
      <c r="D39" s="1333">
        <f>Productivity!F15</f>
        <v>238.8672</v>
      </c>
      <c r="E39" s="1309"/>
      <c r="F39" s="1336" t="s">
        <v>1446</v>
      </c>
      <c r="G39" s="1352">
        <f>D39/D6</f>
        <v>135.39405683339712</v>
      </c>
      <c r="H39" s="1309"/>
      <c r="I39" s="1309"/>
      <c r="J39" s="1356"/>
      <c r="K39" s="1356"/>
    </row>
    <row r="40" spans="2:11">
      <c r="B40" s="72"/>
      <c r="C40" s="1336" t="s">
        <v>1434</v>
      </c>
      <c r="D40" s="1333">
        <f>SUM(D38:D39)</f>
        <v>1413.9834000000001</v>
      </c>
      <c r="E40" s="1309"/>
      <c r="F40" s="1336" t="s">
        <v>1113</v>
      </c>
      <c r="G40" s="1352">
        <f>SUM(G38:G39)</f>
        <v>801.47022622226962</v>
      </c>
      <c r="H40" s="1309"/>
      <c r="I40" s="1309"/>
      <c r="J40" s="1356"/>
      <c r="K40" s="1356"/>
    </row>
    <row r="41" spans="2:11" ht="31.5">
      <c r="B41" s="72"/>
      <c r="C41" s="1336"/>
      <c r="D41" s="1333"/>
      <c r="E41" s="1309"/>
      <c r="F41" s="1357" t="s">
        <v>1585</v>
      </c>
      <c r="G41" s="1333">
        <f>G40/365</f>
        <v>2.1958088389651222</v>
      </c>
      <c r="H41" s="1309"/>
      <c r="I41" s="1309"/>
      <c r="J41" s="1356"/>
      <c r="K41" s="1356"/>
    </row>
    <row r="42" spans="2:11">
      <c r="B42" s="72"/>
      <c r="C42" s="1336"/>
      <c r="D42" s="1333"/>
      <c r="E42" s="1309"/>
      <c r="F42" s="1357"/>
      <c r="G42" s="1333"/>
      <c r="H42" s="1309"/>
      <c r="I42" s="1309"/>
      <c r="J42" s="1356"/>
      <c r="K42" s="1356"/>
    </row>
    <row r="43" spans="2:11">
      <c r="B43" s="72"/>
      <c r="C43" s="1331" t="s">
        <v>1313</v>
      </c>
      <c r="D43" s="1333"/>
      <c r="E43" s="1309"/>
      <c r="F43" s="1331" t="s">
        <v>1313</v>
      </c>
      <c r="G43" s="1333"/>
      <c r="H43" s="1309"/>
      <c r="I43" s="1309"/>
      <c r="J43" s="1309"/>
      <c r="K43" s="1309"/>
    </row>
    <row r="44" spans="2:11">
      <c r="B44" s="72"/>
      <c r="C44" s="1336" t="s">
        <v>1587</v>
      </c>
      <c r="D44" s="1333">
        <f>'Economics '!C3</f>
        <v>1908.2565038563275</v>
      </c>
      <c r="E44" s="1309"/>
      <c r="F44" s="1357" t="s">
        <v>1588</v>
      </c>
      <c r="G44" s="1333">
        <f>'Economics '!C4</f>
        <v>1081.6327630408166</v>
      </c>
      <c r="H44" s="1309"/>
      <c r="I44" s="1309"/>
      <c r="J44" s="1309"/>
      <c r="K44" s="1309"/>
    </row>
    <row r="45" spans="2:11" ht="16.5" thickBot="1">
      <c r="B45" s="72"/>
      <c r="C45" s="1353" t="s">
        <v>1687</v>
      </c>
      <c r="D45" s="1358" t="e">
        <f ca="1">INPUTS!K165</f>
        <v>#REF!</v>
      </c>
      <c r="E45" s="1309"/>
      <c r="F45" s="1353" t="s">
        <v>1688</v>
      </c>
      <c r="G45" s="1358" t="e">
        <f ca="1">D45/D6</f>
        <v>#REF!</v>
      </c>
      <c r="H45" s="1309"/>
      <c r="I45" s="1309"/>
      <c r="J45" s="1309"/>
      <c r="K45" s="1309"/>
    </row>
    <row r="46" spans="2:11">
      <c r="B46" s="72"/>
      <c r="C46" s="1309"/>
      <c r="D46" s="1359"/>
      <c r="E46" s="1309"/>
      <c r="F46" s="1360"/>
      <c r="G46" s="1359"/>
      <c r="H46" s="1309"/>
      <c r="I46" s="1309"/>
      <c r="J46" s="1309"/>
      <c r="K46" s="1309"/>
    </row>
    <row r="47" spans="2:11" ht="16.5" thickBot="1">
      <c r="B47" s="72"/>
      <c r="C47" s="1309"/>
      <c r="D47" s="1309"/>
      <c r="E47" s="1309"/>
      <c r="F47" s="1309"/>
      <c r="G47" s="1309"/>
      <c r="H47" s="1309"/>
      <c r="I47" s="1309"/>
      <c r="J47" s="1309"/>
      <c r="K47" s="1309"/>
    </row>
    <row r="48" spans="2:11">
      <c r="B48" s="72"/>
      <c r="C48" s="1306" t="s">
        <v>1476</v>
      </c>
      <c r="D48" s="1310"/>
      <c r="E48" s="1307"/>
      <c r="F48" s="1309"/>
      <c r="G48" s="1309"/>
      <c r="H48" s="1309"/>
      <c r="I48" s="1309"/>
      <c r="J48" s="1309"/>
      <c r="K48" s="1309"/>
    </row>
    <row r="49" spans="2:11">
      <c r="B49" s="72"/>
      <c r="C49" s="1311"/>
      <c r="D49" s="1314"/>
      <c r="E49" s="1312"/>
      <c r="F49" s="1309"/>
      <c r="G49" s="1309"/>
      <c r="H49" s="1309"/>
      <c r="I49" s="1309"/>
      <c r="J49" s="1309"/>
      <c r="K49" s="1309"/>
    </row>
    <row r="50" spans="2:11">
      <c r="B50" s="72"/>
      <c r="C50" s="1331" t="str">
        <f>'Water Impacts'!A9</f>
        <v>Water use per crop (m3)</v>
      </c>
      <c r="D50" s="1361" t="str">
        <f>'Water Impacts'!B9</f>
        <v>feed</v>
      </c>
      <c r="E50" s="1362" t="s">
        <v>1424</v>
      </c>
      <c r="F50" s="1309"/>
      <c r="G50" s="1309"/>
      <c r="H50" s="1309"/>
      <c r="I50" s="1309"/>
      <c r="J50" s="1309"/>
      <c r="K50" s="1309"/>
    </row>
    <row r="51" spans="2:11">
      <c r="B51" s="72"/>
      <c r="C51" s="1336" t="str">
        <f>'Water Impacts'!A10</f>
        <v>Concentrate (commercial)</v>
      </c>
      <c r="D51" s="1359">
        <f>'Water Impacts'!B10</f>
        <v>0</v>
      </c>
      <c r="E51" s="1330">
        <f>'Water Impacts'!C10</f>
        <v>0</v>
      </c>
      <c r="F51" s="1309"/>
      <c r="G51" s="1309"/>
      <c r="H51" s="1309"/>
      <c r="I51" s="1309"/>
      <c r="J51" s="1309"/>
      <c r="K51" s="1309"/>
    </row>
    <row r="52" spans="2:11">
      <c r="B52" s="72"/>
      <c r="C52" s="1363" t="str">
        <f>'Water Impacts'!A11</f>
        <v>Pennisetum purpureum - forage</v>
      </c>
      <c r="D52" s="1364">
        <f>'Water Impacts'!B11</f>
        <v>40.878604602089965</v>
      </c>
      <c r="E52" s="1365">
        <f>'Water Impacts'!C11</f>
        <v>0</v>
      </c>
      <c r="F52" s="1309"/>
      <c r="G52" s="1309"/>
      <c r="H52" s="1309"/>
      <c r="I52" s="1309"/>
      <c r="J52" s="1309"/>
      <c r="K52" s="1309"/>
    </row>
    <row r="53" spans="2:11">
      <c r="B53" s="72"/>
      <c r="C53" s="1363" t="str">
        <f>'Water Impacts'!A12</f>
        <v>Rhodes grass (Chloris gayana) - forage</v>
      </c>
      <c r="D53" s="1364">
        <f>'Water Impacts'!B12</f>
        <v>270.33727437197479</v>
      </c>
      <c r="E53" s="1365">
        <f>'Water Impacts'!C12</f>
        <v>0</v>
      </c>
      <c r="F53" s="1309"/>
      <c r="G53" s="1309"/>
      <c r="H53" s="1309"/>
      <c r="I53" s="1309"/>
      <c r="J53" s="1309"/>
      <c r="K53" s="1309"/>
    </row>
    <row r="54" spans="2:11">
      <c r="B54" s="72"/>
      <c r="C54" s="1363" t="str">
        <f>'Water Impacts'!A13</f>
        <v>Guatemala (Tripsacum andersonii) - forage</v>
      </c>
      <c r="D54" s="1364">
        <f>'Water Impacts'!B13</f>
        <v>90.896694110473305</v>
      </c>
      <c r="E54" s="1365">
        <f>'Water Impacts'!C13</f>
        <v>0</v>
      </c>
      <c r="F54" s="1309"/>
      <c r="G54" s="1309"/>
      <c r="H54" s="1309"/>
      <c r="I54" s="1309"/>
      <c r="J54" s="1309"/>
      <c r="K54" s="1309"/>
    </row>
    <row r="55" spans="2:11">
      <c r="B55" s="72"/>
      <c r="C55" s="1363" t="str">
        <f>'Water Impacts'!A14</f>
        <v>Maize (Zea mays) - stover</v>
      </c>
      <c r="D55" s="1364">
        <f>'Water Impacts'!B14</f>
        <v>735.30078752317138</v>
      </c>
      <c r="E55" s="1365">
        <f>'Water Impacts'!C14</f>
        <v>177.74759637400484</v>
      </c>
      <c r="F55" s="1309"/>
      <c r="G55" s="1309"/>
      <c r="H55" s="1309"/>
      <c r="I55" s="1309"/>
      <c r="J55" s="1309"/>
      <c r="K55" s="1309"/>
    </row>
    <row r="56" spans="2:11">
      <c r="B56" s="72"/>
      <c r="C56" s="1363" t="str">
        <f>'Water Impacts'!A15</f>
        <v xml:space="preserve">Naturally occuring pasture - green fodder </v>
      </c>
      <c r="D56" s="1364">
        <f>'Water Impacts'!B15</f>
        <v>439.45673218684425</v>
      </c>
      <c r="E56" s="1365">
        <f>'Water Impacts'!C15</f>
        <v>0</v>
      </c>
      <c r="F56" s="1309"/>
      <c r="G56" s="1309"/>
      <c r="H56" s="1309"/>
      <c r="I56" s="1309"/>
      <c r="J56" s="1309"/>
      <c r="K56" s="1309"/>
    </row>
    <row r="57" spans="2:11">
      <c r="B57" s="72"/>
      <c r="C57" s="1363" t="str">
        <f>'Water Impacts'!A16</f>
        <v>N/A</v>
      </c>
      <c r="D57" s="1364">
        <f>'Water Impacts'!B16</f>
        <v>0</v>
      </c>
      <c r="E57" s="1365">
        <f>'Water Impacts'!C16</f>
        <v>0</v>
      </c>
      <c r="F57" s="1309"/>
      <c r="G57" s="1309"/>
      <c r="H57" s="1309"/>
      <c r="I57" s="1309"/>
      <c r="J57" s="1309"/>
      <c r="K57" s="1309"/>
    </row>
    <row r="58" spans="2:11">
      <c r="B58" s="72"/>
      <c r="C58" s="1363" t="str">
        <f>'Water Impacts'!A17</f>
        <v>total</v>
      </c>
      <c r="D58" s="1364">
        <f>'Water Impacts'!B17</f>
        <v>1576.8700927945536</v>
      </c>
      <c r="E58" s="1365">
        <f>'Water Impacts'!C17</f>
        <v>177.74759637400484</v>
      </c>
      <c r="F58" s="1309"/>
      <c r="G58" s="1309"/>
      <c r="H58" s="1309"/>
      <c r="I58" s="1309"/>
      <c r="J58" s="1309"/>
      <c r="K58" s="1309"/>
    </row>
    <row r="59" spans="2:11">
      <c r="B59" s="72"/>
      <c r="C59" s="1366"/>
      <c r="D59" s="1367"/>
      <c r="E59" s="1368"/>
      <c r="F59" s="1309"/>
      <c r="G59" s="1309"/>
      <c r="H59" s="1309"/>
      <c r="I59" s="1309"/>
      <c r="J59" s="1309"/>
      <c r="K59" s="1309"/>
    </row>
    <row r="60" spans="2:11">
      <c r="B60" s="72"/>
      <c r="C60" s="1366"/>
      <c r="D60" s="1367"/>
      <c r="E60" s="1368"/>
      <c r="F60" s="1309"/>
      <c r="G60" s="1309"/>
      <c r="H60" s="1309"/>
      <c r="I60" s="1309"/>
      <c r="J60" s="1309"/>
      <c r="K60" s="1309"/>
    </row>
    <row r="61" spans="2:11">
      <c r="B61" s="72"/>
      <c r="C61" s="1327" t="s">
        <v>1370</v>
      </c>
      <c r="D61" s="1361" t="str">
        <f>D50</f>
        <v>feed</v>
      </c>
      <c r="E61" s="1362" t="str">
        <f>E50</f>
        <v>non-feed</v>
      </c>
      <c r="F61" s="1309"/>
      <c r="G61" s="1309"/>
      <c r="H61" s="1309"/>
      <c r="I61" s="1309"/>
      <c r="J61" s="1309"/>
      <c r="K61" s="1309"/>
    </row>
    <row r="62" spans="2:11">
      <c r="B62" s="72"/>
      <c r="C62" s="1363" t="str">
        <f t="shared" ref="C62:C69" si="0">C51</f>
        <v>Concentrate (commercial)</v>
      </c>
      <c r="D62" s="1369">
        <f>'Soil impacts'!G9</f>
        <v>0</v>
      </c>
      <c r="E62" s="1370">
        <f>'Soil impacts'!I9</f>
        <v>0</v>
      </c>
      <c r="F62" s="1309"/>
      <c r="G62" s="1309"/>
      <c r="H62" s="1309"/>
      <c r="I62" s="1309"/>
      <c r="J62" s="1309"/>
      <c r="K62" s="1309"/>
    </row>
    <row r="63" spans="2:11">
      <c r="B63" s="72"/>
      <c r="C63" s="1363" t="str">
        <f t="shared" si="0"/>
        <v>Pennisetum purpureum - forage</v>
      </c>
      <c r="D63" s="1369">
        <f>'Soil impacts'!G10</f>
        <v>-3.1628974605768931</v>
      </c>
      <c r="E63" s="1370">
        <f>'Soil impacts'!I10</f>
        <v>0</v>
      </c>
      <c r="F63" s="1309"/>
      <c r="G63" s="1309"/>
      <c r="H63" s="1309"/>
      <c r="I63" s="1309"/>
      <c r="J63" s="1309"/>
      <c r="K63" s="1309"/>
    </row>
    <row r="64" spans="2:11">
      <c r="B64" s="72"/>
      <c r="C64" s="1363" t="str">
        <f t="shared" si="0"/>
        <v>Rhodes grass (Chloris gayana) - forage</v>
      </c>
      <c r="D64" s="1369">
        <f>'Soil impacts'!G11</f>
        <v>-30.314811192162917</v>
      </c>
      <c r="E64" s="1370">
        <f>'Soil impacts'!I11</f>
        <v>0</v>
      </c>
      <c r="F64" s="1309"/>
      <c r="G64" s="1309"/>
      <c r="H64" s="1309"/>
      <c r="I64" s="1309"/>
      <c r="J64" s="1309"/>
      <c r="K64" s="1309"/>
    </row>
    <row r="65" spans="2:11">
      <c r="B65" s="72"/>
      <c r="C65" s="1363" t="str">
        <f t="shared" si="0"/>
        <v>Guatemala (Tripsacum andersonii) - forage</v>
      </c>
      <c r="D65" s="1369">
        <f>'Soil impacts'!G12</f>
        <v>-12.852048216161496</v>
      </c>
      <c r="E65" s="1370">
        <f>'Soil impacts'!I12</f>
        <v>0</v>
      </c>
      <c r="F65" s="1309"/>
      <c r="G65" s="1309"/>
      <c r="H65" s="1309"/>
      <c r="I65" s="1309"/>
      <c r="J65" s="1309"/>
      <c r="K65" s="1309"/>
    </row>
    <row r="66" spans="2:11">
      <c r="B66" s="72"/>
      <c r="C66" s="1363" t="str">
        <f t="shared" si="0"/>
        <v>Maize (Zea mays) - stover</v>
      </c>
      <c r="D66" s="1369">
        <f>'Soil impacts'!G13</f>
        <v>4.2275864357872077</v>
      </c>
      <c r="E66" s="1370">
        <f>'Soil impacts'!I13</f>
        <v>2.2096295245914366</v>
      </c>
      <c r="F66" s="1309"/>
      <c r="G66" s="1309"/>
      <c r="H66" s="1309"/>
      <c r="I66" s="1309"/>
      <c r="J66" s="1309"/>
      <c r="K66" s="1309"/>
    </row>
    <row r="67" spans="2:11">
      <c r="B67" s="72"/>
      <c r="C67" s="1363" t="str">
        <f t="shared" si="0"/>
        <v xml:space="preserve">Naturally occuring pasture - green fodder </v>
      </c>
      <c r="D67" s="1369">
        <f>'Soil impacts'!G14</f>
        <v>-61.445072340809425</v>
      </c>
      <c r="E67" s="1370">
        <f>'Soil impacts'!I14</f>
        <v>0</v>
      </c>
      <c r="F67" s="1309"/>
      <c r="G67" s="1309"/>
      <c r="H67" s="1309"/>
      <c r="I67" s="1309"/>
      <c r="J67" s="1309"/>
      <c r="K67" s="1309"/>
    </row>
    <row r="68" spans="2:11">
      <c r="B68" s="72"/>
      <c r="C68" s="1363" t="str">
        <f t="shared" si="0"/>
        <v>N/A</v>
      </c>
      <c r="D68" s="1369">
        <f>'Soil impacts'!G15</f>
        <v>0</v>
      </c>
      <c r="E68" s="1370">
        <f>'Soil impacts'!I15</f>
        <v>0</v>
      </c>
      <c r="F68" s="1309"/>
      <c r="G68" s="1309"/>
      <c r="H68" s="1309"/>
      <c r="I68" s="1309"/>
      <c r="J68" s="1309"/>
      <c r="K68" s="1309"/>
    </row>
    <row r="69" spans="2:11">
      <c r="B69" s="72"/>
      <c r="C69" s="1363" t="str">
        <f t="shared" si="0"/>
        <v>total</v>
      </c>
      <c r="D69" s="1369">
        <f>'Soil impacts'!G16</f>
        <v>-103.54724277392351</v>
      </c>
      <c r="E69" s="1370">
        <f>'Soil impacts'!I16</f>
        <v>2.2096295245914366</v>
      </c>
      <c r="F69" s="1309"/>
      <c r="G69" s="1309"/>
      <c r="H69" s="1309"/>
      <c r="I69" s="1309"/>
      <c r="J69" s="1309"/>
      <c r="K69" s="1309"/>
    </row>
    <row r="70" spans="2:11">
      <c r="B70" s="72"/>
      <c r="C70" s="1366"/>
      <c r="D70" s="1371"/>
      <c r="E70" s="1278"/>
      <c r="F70" s="1309"/>
      <c r="G70" s="1309"/>
      <c r="H70" s="1309"/>
      <c r="I70" s="1309"/>
      <c r="J70" s="1309"/>
      <c r="K70" s="1309"/>
    </row>
    <row r="71" spans="2:11">
      <c r="B71" s="72"/>
      <c r="C71" s="1327" t="s">
        <v>1371</v>
      </c>
      <c r="D71" s="1372" t="s">
        <v>1356</v>
      </c>
      <c r="E71" s="1373" t="s">
        <v>1424</v>
      </c>
      <c r="F71" s="1309"/>
      <c r="G71" s="1309"/>
      <c r="H71" s="1309"/>
      <c r="I71" s="1309"/>
      <c r="J71" s="1309"/>
      <c r="K71" s="1309"/>
    </row>
    <row r="72" spans="2:11">
      <c r="B72" s="72"/>
      <c r="C72" s="1363" t="str">
        <f t="shared" ref="C72:C79" si="1">C62</f>
        <v>Concentrate (commercial)</v>
      </c>
      <c r="D72" s="1369">
        <f>'Land requirements'!F4</f>
        <v>0</v>
      </c>
      <c r="E72" s="1370">
        <f>SUM('Land Requirement '!L21+'Land Requirement '!M21)</f>
        <v>0</v>
      </c>
      <c r="F72" s="1309"/>
      <c r="G72" s="1309"/>
      <c r="H72" s="1309"/>
      <c r="I72" s="1309"/>
      <c r="J72" s="1309"/>
      <c r="K72" s="1309"/>
    </row>
    <row r="73" spans="2:11">
      <c r="B73" s="72"/>
      <c r="C73" s="1363" t="str">
        <f t="shared" si="1"/>
        <v>Pennisetum purpureum - forage</v>
      </c>
      <c r="D73" s="1369">
        <f>'Land requirements'!F5</f>
        <v>3.0544411906916535E-2</v>
      </c>
      <c r="E73" s="1370">
        <f>SUM('Land Requirement '!AB21+'Land Requirement '!AC21)</f>
        <v>0</v>
      </c>
      <c r="F73" s="1309"/>
      <c r="G73" s="1309"/>
      <c r="H73" s="1309"/>
      <c r="I73" s="1309"/>
      <c r="J73" s="1309"/>
      <c r="K73" s="1309"/>
    </row>
    <row r="74" spans="2:11">
      <c r="B74" s="72"/>
      <c r="C74" s="1363" t="str">
        <f t="shared" si="1"/>
        <v>Rhodes grass (Chloris gayana) - forage</v>
      </c>
      <c r="D74" s="1369">
        <f>'Land requirements'!F6</f>
        <v>0.20199547275614554</v>
      </c>
      <c r="E74" s="1370">
        <f>SUM('Land Requirement '!AR21+'Land Requirement '!AS21)</f>
        <v>0</v>
      </c>
      <c r="F74" s="1309"/>
      <c r="G74" s="1309"/>
      <c r="H74" s="1309"/>
      <c r="I74" s="1309"/>
      <c r="J74" s="1309"/>
      <c r="K74" s="1309"/>
    </row>
    <row r="75" spans="2:11">
      <c r="B75" s="72"/>
      <c r="C75" s="1363" t="str">
        <f t="shared" si="1"/>
        <v>Guatemala (Tripsacum andersonii) - forage</v>
      </c>
      <c r="D75" s="1369">
        <f>'Land requirements'!F7</f>
        <v>6.7917828725135729E-2</v>
      </c>
      <c r="E75" s="1370">
        <f>SUM('Land Requirement '!BH21+'Land Requirement '!BI21)</f>
        <v>0</v>
      </c>
      <c r="F75" s="1309"/>
      <c r="G75" s="1309"/>
      <c r="H75" s="1309"/>
      <c r="I75" s="1309"/>
      <c r="J75" s="1309"/>
      <c r="K75" s="1309"/>
    </row>
    <row r="76" spans="2:11">
      <c r="B76" s="72"/>
      <c r="C76" s="1363" t="str">
        <f t="shared" si="1"/>
        <v>Maize (Zea mays) - stover</v>
      </c>
      <c r="D76" s="1369">
        <f>'Land requirements'!F8</f>
        <v>0.96211631601388448</v>
      </c>
      <c r="E76" s="1370">
        <f>SUM('Land Requirement '!BZ21+'Land Requirement '!CA21)</f>
        <v>0.13642488044907855</v>
      </c>
      <c r="F76" s="1309"/>
      <c r="G76" s="1309"/>
      <c r="H76" s="1309"/>
      <c r="I76" s="1309"/>
      <c r="J76" s="1309"/>
      <c r="K76" s="1309"/>
    </row>
    <row r="77" spans="2:11">
      <c r="B77" s="72"/>
      <c r="C77" s="1363" t="str">
        <f t="shared" si="1"/>
        <v xml:space="preserve">Naturally occuring pasture - green fodder </v>
      </c>
      <c r="D77" s="1369">
        <f>'Land requirements'!F9</f>
        <v>0.50166293628635195</v>
      </c>
      <c r="E77" s="1370">
        <f>SUM('Land Requirement '!CP21+'Land Requirement '!CQ21)</f>
        <v>0.34637518517370919</v>
      </c>
      <c r="F77" s="1309"/>
      <c r="G77" s="1309"/>
      <c r="H77" s="1309"/>
      <c r="I77" s="1309"/>
      <c r="J77" s="1309"/>
      <c r="K77" s="1309"/>
    </row>
    <row r="78" spans="2:11">
      <c r="B78" s="72"/>
      <c r="C78" s="1363" t="str">
        <f t="shared" si="1"/>
        <v>N/A</v>
      </c>
      <c r="D78" s="1369">
        <f>'Land requirements'!F10</f>
        <v>0</v>
      </c>
      <c r="E78" s="1370">
        <f>SUM('Land Requirement '!DF21+'Land Requirement '!DG21)</f>
        <v>0</v>
      </c>
      <c r="F78" s="1309"/>
      <c r="G78" s="1309"/>
      <c r="H78" s="1309"/>
      <c r="I78" s="1309"/>
      <c r="J78" s="1309"/>
      <c r="K78" s="1309"/>
    </row>
    <row r="79" spans="2:11" ht="16.5" thickBot="1">
      <c r="C79" s="1374" t="str">
        <f t="shared" si="1"/>
        <v>total</v>
      </c>
      <c r="D79" s="1375">
        <f>SUM(D72:D78)</f>
        <v>1.7642369656884345</v>
      </c>
      <c r="E79" s="1376">
        <f>SUM(E72:E78)</f>
        <v>0.48280006562278777</v>
      </c>
      <c r="F79" s="1309"/>
      <c r="G79" s="1309"/>
      <c r="H79" s="1309"/>
      <c r="I79" s="1309"/>
      <c r="J79" s="1309"/>
      <c r="K79" s="1309"/>
    </row>
    <row r="80" spans="2:11">
      <c r="C80" s="360"/>
      <c r="D80" s="360"/>
      <c r="E80" s="360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  <ignoredErrors>
    <ignoredError sqref="E55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D7" sqref="D7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A1" s="1100"/>
      <c r="B1" s="360"/>
      <c r="C1" s="116"/>
      <c r="D1" s="360"/>
      <c r="E1" s="360"/>
      <c r="F1" s="307"/>
      <c r="G1" s="860"/>
      <c r="H1" s="861"/>
    </row>
    <row r="2" spans="1:8" ht="31.5">
      <c r="A2" s="1074" t="s">
        <v>763</v>
      </c>
      <c r="B2" s="366" t="s">
        <v>798</v>
      </c>
      <c r="C2" s="1091" t="s">
        <v>795</v>
      </c>
      <c r="D2" s="315">
        <v>1400</v>
      </c>
      <c r="G2" s="860"/>
      <c r="H2" s="861"/>
    </row>
    <row r="3" spans="1:8">
      <c r="A3" s="1075"/>
      <c r="B3" s="1380" t="s">
        <v>996</v>
      </c>
      <c r="C3" s="1099" t="s">
        <v>1063</v>
      </c>
      <c r="D3" s="575">
        <v>7</v>
      </c>
      <c r="G3" s="860"/>
      <c r="H3" s="861"/>
    </row>
    <row r="4" spans="1:8">
      <c r="A4" s="1075"/>
      <c r="B4" s="739" t="s">
        <v>800</v>
      </c>
      <c r="C4" s="1092" t="s">
        <v>796</v>
      </c>
      <c r="D4" s="575" t="s">
        <v>853</v>
      </c>
      <c r="G4" s="860"/>
      <c r="H4" s="861"/>
    </row>
    <row r="5" spans="1:8">
      <c r="A5" s="1075"/>
      <c r="B5" s="739" t="s">
        <v>799</v>
      </c>
      <c r="C5" s="1092" t="s">
        <v>797</v>
      </c>
      <c r="D5" s="575">
        <v>0.3</v>
      </c>
      <c r="G5" s="860"/>
      <c r="H5" s="861"/>
    </row>
    <row r="6" spans="1:8">
      <c r="A6" s="1075"/>
      <c r="B6" s="739" t="s">
        <v>801</v>
      </c>
      <c r="C6" s="1092" t="s">
        <v>797</v>
      </c>
      <c r="D6" s="575">
        <v>1.3</v>
      </c>
      <c r="G6" s="860" t="s">
        <v>926</v>
      </c>
      <c r="H6" s="861"/>
    </row>
    <row r="7" spans="1:8">
      <c r="A7" s="1075"/>
      <c r="B7" s="739" t="s">
        <v>883</v>
      </c>
      <c r="C7" s="1092" t="s">
        <v>83</v>
      </c>
      <c r="D7" s="317">
        <v>34</v>
      </c>
      <c r="G7" s="860"/>
      <c r="H7" s="861"/>
    </row>
    <row r="8" spans="1:8">
      <c r="A8" s="1075"/>
      <c r="B8" s="1381" t="s">
        <v>1062</v>
      </c>
      <c r="C8" s="164" t="s">
        <v>888</v>
      </c>
      <c r="D8" s="317">
        <v>1.5</v>
      </c>
      <c r="G8" s="860"/>
      <c r="H8" s="861"/>
    </row>
    <row r="9" spans="1:8" ht="16.5" thickBot="1">
      <c r="A9" s="1076"/>
      <c r="B9" s="548" t="s">
        <v>1064</v>
      </c>
      <c r="C9" s="237" t="s">
        <v>891</v>
      </c>
      <c r="D9" s="575">
        <v>2</v>
      </c>
      <c r="G9" s="860"/>
      <c r="H9" s="861"/>
    </row>
    <row r="10" spans="1:8" ht="19.5" thickBot="1">
      <c r="A10" s="1100"/>
      <c r="B10" s="598" t="s">
        <v>1280</v>
      </c>
      <c r="C10" s="599" t="s">
        <v>1281</v>
      </c>
      <c r="D10" s="604">
        <v>1460</v>
      </c>
      <c r="G10" s="861"/>
      <c r="H10" s="861"/>
    </row>
    <row r="12" spans="1:8" ht="16.5" thickBot="1"/>
    <row r="13" spans="1:8" ht="30">
      <c r="A13" s="861"/>
      <c r="B13" s="862"/>
      <c r="C13" s="1478"/>
      <c r="D13" s="863" t="s">
        <v>1372</v>
      </c>
      <c r="E13" s="864" t="s">
        <v>1373</v>
      </c>
      <c r="F13" s="864" t="s">
        <v>668</v>
      </c>
      <c r="G13" s="1377" t="s">
        <v>706</v>
      </c>
    </row>
    <row r="14" spans="1:8" ht="30">
      <c r="A14" s="861"/>
      <c r="B14" s="862"/>
      <c r="C14" s="1479"/>
      <c r="D14" s="685"/>
      <c r="E14" s="685" t="s">
        <v>1374</v>
      </c>
      <c r="F14" s="685" t="s">
        <v>668</v>
      </c>
      <c r="G14" s="1378" t="s">
        <v>715</v>
      </c>
    </row>
    <row r="15" spans="1:8" ht="45">
      <c r="A15" s="861"/>
      <c r="B15" s="862"/>
      <c r="C15" s="1479"/>
      <c r="D15" s="685"/>
      <c r="E15" s="685" t="s">
        <v>1375</v>
      </c>
      <c r="F15" s="685" t="s">
        <v>668</v>
      </c>
      <c r="G15" s="1378" t="s">
        <v>725</v>
      </c>
    </row>
    <row r="16" spans="1:8" ht="30">
      <c r="A16" s="861"/>
      <c r="B16" s="862"/>
      <c r="C16" s="1479"/>
      <c r="D16" s="685" t="s">
        <v>1376</v>
      </c>
      <c r="E16" s="685" t="s">
        <v>1377</v>
      </c>
      <c r="F16" s="685" t="s">
        <v>598</v>
      </c>
      <c r="G16" s="1378" t="s">
        <v>738</v>
      </c>
    </row>
    <row r="17" spans="1:7" ht="90">
      <c r="A17" s="861"/>
      <c r="B17" s="862"/>
      <c r="C17" s="1479"/>
      <c r="D17" s="685"/>
      <c r="E17" s="685" t="s">
        <v>1378</v>
      </c>
      <c r="F17" s="685" t="s">
        <v>668</v>
      </c>
      <c r="G17" s="1378" t="s">
        <v>744</v>
      </c>
    </row>
    <row r="18" spans="1:7" ht="45">
      <c r="A18" s="861"/>
      <c r="B18" s="862"/>
      <c r="C18" s="1479"/>
      <c r="D18" s="686" t="s">
        <v>1379</v>
      </c>
      <c r="E18" s="686" t="s">
        <v>1380</v>
      </c>
      <c r="F18" s="686" t="s">
        <v>126</v>
      </c>
      <c r="G18" s="1378">
        <v>0</v>
      </c>
    </row>
    <row r="19" spans="1:7" ht="45.75" thickBot="1">
      <c r="A19" s="861"/>
      <c r="B19" s="862"/>
      <c r="C19" s="1480"/>
      <c r="D19" s="687" t="s">
        <v>1381</v>
      </c>
      <c r="E19" s="687" t="s">
        <v>1382</v>
      </c>
      <c r="F19" s="687" t="s">
        <v>1226</v>
      </c>
      <c r="G19" s="1379">
        <v>0</v>
      </c>
    </row>
    <row r="20" spans="1:7">
      <c r="A20" s="861"/>
      <c r="B20" s="861"/>
    </row>
    <row r="21" spans="1:7">
      <c r="A21" s="861"/>
      <c r="B21" s="861"/>
    </row>
    <row r="22" spans="1:7">
      <c r="A22" s="861"/>
      <c r="B22" s="861"/>
    </row>
    <row r="23" spans="1:7">
      <c r="A23" s="861"/>
      <c r="B23" s="861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parameters'!$D$44:$D$51</xm:f>
          </x14:formula1>
          <xm:sqref>G16</xm:sqref>
        </x14:dataValidation>
        <x14:dataValidation type="list" allowBlank="1" showInputMessage="1" showErrorMessage="1">
          <x14:formula1>
            <xm:f>'SOC parameters'!$D$52:$D$54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Z137"/>
  <sheetViews>
    <sheetView zoomScaleNormal="100" workbookViewId="0">
      <pane xSplit="1" topLeftCell="B1" activePane="topRight" state="frozen"/>
      <selection pane="topRight" activeCell="A38" sqref="A38"/>
    </sheetView>
  </sheetViews>
  <sheetFormatPr defaultColWidth="8.875" defaultRowHeight="15.75"/>
  <cols>
    <col min="1" max="1" width="30.375" customWidth="1"/>
    <col min="2" max="3" width="13.25" customWidth="1"/>
    <col min="4" max="4" width="13.25" style="898" customWidth="1"/>
    <col min="5" max="6" width="10.25" customWidth="1"/>
    <col min="7" max="7" width="11.25" style="708" customWidth="1"/>
    <col min="8" max="8" width="9.5" style="708" customWidth="1"/>
    <col min="9" max="9" width="14" style="708" customWidth="1"/>
    <col min="10" max="11" width="12.375" style="708" customWidth="1"/>
    <col min="12" max="12" width="12.25" style="708" customWidth="1"/>
    <col min="13" max="13" width="12.625" style="708" customWidth="1"/>
    <col min="14" max="14" width="10.5" style="708" customWidth="1"/>
    <col min="15" max="15" width="8.5" style="708" customWidth="1"/>
    <col min="16" max="16" width="7.875" style="708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41" max="41" width="17.125" bestFit="1" customWidth="1"/>
  </cols>
  <sheetData>
    <row r="1" spans="1:36" s="981" customFormat="1" ht="16.5" thickBot="1">
      <c r="G1" s="708"/>
      <c r="H1" s="708"/>
      <c r="I1" s="708"/>
      <c r="J1" s="708"/>
      <c r="K1" s="708"/>
      <c r="L1" s="708"/>
      <c r="M1" s="708"/>
      <c r="N1" s="708"/>
      <c r="O1" s="708"/>
      <c r="P1" s="708"/>
    </row>
    <row r="2" spans="1:36" s="981" customFormat="1" hidden="1">
      <c r="A2" s="981" t="str">
        <f>INPUTS!$C17</f>
        <v>Cows (improved)</v>
      </c>
      <c r="B2" s="981">
        <f t="shared" ref="B2:B15" si="0">IFERROR(VLOOKUP($A2,$A$20:$AJ$34,2,FALSE),0)</f>
        <v>381</v>
      </c>
      <c r="C2" s="988">
        <f t="shared" ref="C2:C15" si="1">IFERROR(VLOOKUP($A2,$A$20:$AJ$34,3,FALSE),0)</f>
        <v>0</v>
      </c>
      <c r="D2" s="988">
        <f t="shared" ref="D2:D15" si="2">IFERROR(VLOOKUP($A2,$A$20:$AJ$34,4,FALSE),0)</f>
        <v>0</v>
      </c>
      <c r="E2" s="988">
        <f t="shared" ref="E2:E15" si="3">IFERROR(VLOOKUP($A2,$A$20:$AJ$34,5,FALSE),0)</f>
        <v>0</v>
      </c>
      <c r="F2" s="988">
        <f t="shared" ref="F2:F15" si="4">IFERROR(VLOOKUP($A2,$A$20:$AJ$34,6,FALSE),0)</f>
        <v>0</v>
      </c>
      <c r="G2" s="988">
        <f t="shared" ref="G2:G15" si="5">IFERROR(VLOOKUP($A2,$A$20:$AJ$34,7,FALSE),0)</f>
        <v>0</v>
      </c>
      <c r="H2" s="572">
        <f t="shared" ref="H2:H15" si="6">IFERROR(VLOOKUP($A2,$A$20:$AJ$34,8,FALSE),0)</f>
        <v>43.118509116603107</v>
      </c>
      <c r="I2" s="988">
        <f t="shared" ref="I2:I15" si="7">IFERROR(VLOOKUP($A2,$A$20:$AJ$34,9,FALSE),0)</f>
        <v>2</v>
      </c>
      <c r="J2" s="572">
        <f t="shared" ref="J2:J15" si="8">IFERROR(VLOOKUP($A2,$A$20:$AJ$34,10,FALSE),0)</f>
        <v>1500</v>
      </c>
      <c r="K2" s="572">
        <f t="shared" ref="K2:K15" si="9">IFERROR(VLOOKUP($A2,$A$20:$AJ$34,11,FALSE),0)</f>
        <v>0</v>
      </c>
      <c r="L2" s="988">
        <f t="shared" ref="L2:L15" si="10">IFERROR(VLOOKUP($A2,$A$20:$AJ$34,12,FALSE),0)</f>
        <v>5.5</v>
      </c>
      <c r="M2" s="988">
        <f t="shared" ref="M2:M15" si="11">IFERROR(VLOOKUP($A2,$A$20:$AJ$34,13,FALSE),0)</f>
        <v>0</v>
      </c>
      <c r="N2" s="39">
        <f t="shared" ref="N2:N15" si="12">IFERROR(VLOOKUP($A2,$A$20:$AJ$34,14,FALSE),0)</f>
        <v>0.38100000000000001</v>
      </c>
      <c r="O2" s="988">
        <f t="shared" ref="O2:O15" si="13">IFERROR(VLOOKUP($A2,$A$20:$AJ$34,15,FALSE),0)</f>
        <v>0</v>
      </c>
      <c r="P2" s="39">
        <f t="shared" ref="P2:P15" si="14">IFERROR(VLOOKUP($A2,$A$20:$AJ$34,16,FALSE),0)</f>
        <v>12.21</v>
      </c>
      <c r="Q2" s="39">
        <f t="shared" ref="Q2:Q15" si="15">IFERROR(VLOOKUP($A2,$A$20:$AJ$34,17,FALSE),0)</f>
        <v>0</v>
      </c>
      <c r="R2" s="988">
        <f t="shared" ref="R2:R15" si="16">IFERROR(VLOOKUP($A2,$A$20:$AJ$34,18,FALSE),0)</f>
        <v>0.09</v>
      </c>
      <c r="S2" s="988">
        <f t="shared" ref="S2:S15" si="17">IFERROR(VLOOKUP($A2,$A$20:$AJ$34,19,FALSE),0)</f>
        <v>0</v>
      </c>
      <c r="T2" s="988">
        <f>IFERROR(VLOOKUP($A2,INPUTS!$C$17:$F$30,3,FALSE),0)</f>
        <v>1525</v>
      </c>
      <c r="U2" s="1445">
        <f>IFERROR(VLOOKUP($A2,INPUTS!$C$17:$F$30,4,FALSE),0)</f>
        <v>0</v>
      </c>
      <c r="V2" s="988">
        <f t="shared" ref="V2:V15" si="18">IFERROR(VLOOKUP($A2,$A$20:$AJ$34,22,FALSE),0)</f>
        <v>1.1666666666666667</v>
      </c>
      <c r="W2" s="988">
        <f t="shared" ref="W2:W15" si="19">IFERROR(VLOOKUP($A2,$A$20:$AJ$34,23,FALSE),0)</f>
        <v>3.2</v>
      </c>
      <c r="X2" s="988">
        <f t="shared" ref="X2:X15" si="20">IFERROR(VLOOKUP($A2,$A$20:$AJ$34,24,FALSE),0)</f>
        <v>4</v>
      </c>
      <c r="Y2" s="988">
        <f t="shared" ref="Y2:Y15" si="21">IFERROR(VLOOKUP($A2,$A$20:$AJ$34,25,FALSE),0)</f>
        <v>970</v>
      </c>
      <c r="Z2" s="988">
        <f t="shared" ref="Z2:Z15" si="22">IFERROR(VLOOKUP($A2,$A$20:$AJ$34,26,FALSE),0)</f>
        <v>2200</v>
      </c>
      <c r="AA2" s="988">
        <f t="shared" ref="AA2:AA15" si="23">IFERROR(VLOOKUP($A2,$A$20:$AJ$34,27,FALSE),0)</f>
        <v>26</v>
      </c>
      <c r="AB2" s="988">
        <f t="shared" ref="AB2:AB15" si="24">IFERROR(VLOOKUP($A2,$A$20:$AJ$34,28,FALSE),0)</f>
        <v>0</v>
      </c>
      <c r="AC2" s="988">
        <f t="shared" ref="AC2:AC15" si="25">IFERROR(VLOOKUP($A2,$A$20:$AJ$34,29,FALSE),0)</f>
        <v>0</v>
      </c>
      <c r="AD2" s="988">
        <f t="shared" ref="AD2:AD15" si="26">IFERROR(VLOOKUP($A2,$A$20:$AJ$34,30,FALSE),0)</f>
        <v>2.9000000000000001E-2</v>
      </c>
      <c r="AE2" s="988">
        <f t="shared" ref="AE2:AE15" si="27">IFERROR(VLOOKUP($A2,$A$20:$AJ$34,31,FALSE),0)</f>
        <v>0</v>
      </c>
      <c r="AF2" s="988" t="str">
        <f t="shared" ref="AF2:AF15" si="28">IFERROR(VLOOKUP($A2,$A$20:$AJ$34,32,FALSE),0)</f>
        <v>beef</v>
      </c>
      <c r="AG2" s="988">
        <f t="shared" ref="AG2:AG15" si="29">IFERROR(VLOOKUP($A2,$A$20:$AJ$34,33,FALSE),0)</f>
        <v>1500</v>
      </c>
      <c r="AH2" s="988">
        <f t="shared" ref="AH2:AH15" si="30">IFERROR(VLOOKUP($A2,$A$20:$AJ$34,34,FALSE),0)</f>
        <v>20</v>
      </c>
      <c r="AI2" s="988">
        <f t="shared" ref="AI2:AI15" si="31">IFERROR(VLOOKUP($A2,$A$20:$AJ$34,35,FALSE),0)</f>
        <v>0</v>
      </c>
      <c r="AJ2" s="988">
        <f t="shared" ref="AJ2:AJ15" si="32">IFERROR(VLOOKUP($A2,$A$20:$AJ$34,36,FALSE),0)</f>
        <v>8</v>
      </c>
    </row>
    <row r="3" spans="1:36" s="981" customFormat="1" hidden="1">
      <c r="A3" s="982" t="str">
        <f>INPUTS!$C18</f>
        <v>Steers/heifers</v>
      </c>
      <c r="B3" s="988">
        <f t="shared" si="0"/>
        <v>290</v>
      </c>
      <c r="C3" s="988">
        <f t="shared" si="1"/>
        <v>0</v>
      </c>
      <c r="D3" s="988">
        <f t="shared" si="2"/>
        <v>0</v>
      </c>
      <c r="E3" s="988">
        <f t="shared" si="3"/>
        <v>0</v>
      </c>
      <c r="F3" s="988">
        <f t="shared" si="4"/>
        <v>0</v>
      </c>
      <c r="G3" s="988">
        <f t="shared" si="5"/>
        <v>0</v>
      </c>
      <c r="H3" s="572">
        <f t="shared" si="6"/>
        <v>35.137309395138168</v>
      </c>
      <c r="I3" s="988">
        <f t="shared" si="7"/>
        <v>1.5</v>
      </c>
      <c r="J3" s="572">
        <f t="shared" si="8"/>
        <v>0</v>
      </c>
      <c r="K3" s="572">
        <f t="shared" si="9"/>
        <v>0</v>
      </c>
      <c r="L3" s="988">
        <f t="shared" si="10"/>
        <v>0</v>
      </c>
      <c r="M3" s="988">
        <f t="shared" si="11"/>
        <v>50</v>
      </c>
      <c r="N3" s="39">
        <f t="shared" si="12"/>
        <v>0.28999999999999998</v>
      </c>
      <c r="O3" s="988">
        <f t="shared" si="13"/>
        <v>0</v>
      </c>
      <c r="P3" s="39">
        <f t="shared" si="14"/>
        <v>0</v>
      </c>
      <c r="Q3" s="39">
        <f t="shared" si="15"/>
        <v>0</v>
      </c>
      <c r="R3" s="988">
        <f t="shared" si="16"/>
        <v>0</v>
      </c>
      <c r="S3" s="988">
        <f t="shared" si="17"/>
        <v>0.4</v>
      </c>
      <c r="T3" s="1445">
        <f>IFERROR(VLOOKUP($A3,INPUTS!$C$17:$F$30,3,FALSE),0)</f>
        <v>0</v>
      </c>
      <c r="U3" s="1445">
        <f>IFERROR(VLOOKUP($A3,INPUTS!$C$17:$F$30,4,FALSE),0)</f>
        <v>156</v>
      </c>
      <c r="V3" s="988">
        <f t="shared" si="18"/>
        <v>0</v>
      </c>
      <c r="W3" s="988">
        <f t="shared" si="19"/>
        <v>0</v>
      </c>
      <c r="X3" s="988">
        <f t="shared" si="20"/>
        <v>0</v>
      </c>
      <c r="Y3" s="988">
        <f t="shared" si="21"/>
        <v>0</v>
      </c>
      <c r="Z3" s="988">
        <f t="shared" si="22"/>
        <v>2200</v>
      </c>
      <c r="AA3" s="988">
        <f t="shared" si="23"/>
        <v>26</v>
      </c>
      <c r="AB3" s="988">
        <f t="shared" si="24"/>
        <v>0.57999999999999996</v>
      </c>
      <c r="AC3" s="988">
        <f t="shared" si="25"/>
        <v>0</v>
      </c>
      <c r="AD3" s="988">
        <f t="shared" si="26"/>
        <v>2.9000000000000001E-2</v>
      </c>
      <c r="AE3" s="988">
        <f t="shared" si="27"/>
        <v>0</v>
      </c>
      <c r="AF3" s="988" t="str">
        <f t="shared" si="28"/>
        <v>beef</v>
      </c>
      <c r="AG3" s="988">
        <f t="shared" si="29"/>
        <v>500</v>
      </c>
      <c r="AH3" s="988">
        <f t="shared" si="30"/>
        <v>5</v>
      </c>
      <c r="AI3" s="988">
        <f t="shared" si="31"/>
        <v>0</v>
      </c>
      <c r="AJ3" s="988">
        <f t="shared" si="32"/>
        <v>2</v>
      </c>
    </row>
    <row r="4" spans="1:36" s="981" customFormat="1" hidden="1">
      <c r="A4" s="982">
        <f>INPUTS!$C19</f>
        <v>0</v>
      </c>
      <c r="B4" s="988">
        <f t="shared" si="0"/>
        <v>0</v>
      </c>
      <c r="C4" s="988">
        <f t="shared" si="1"/>
        <v>0</v>
      </c>
      <c r="D4" s="988">
        <f t="shared" si="2"/>
        <v>0</v>
      </c>
      <c r="E4" s="988">
        <f t="shared" si="3"/>
        <v>0</v>
      </c>
      <c r="F4" s="988">
        <f t="shared" si="4"/>
        <v>0</v>
      </c>
      <c r="G4" s="988">
        <f t="shared" si="5"/>
        <v>0</v>
      </c>
      <c r="H4" s="572">
        <f t="shared" si="6"/>
        <v>0</v>
      </c>
      <c r="I4" s="988">
        <f t="shared" si="7"/>
        <v>0</v>
      </c>
      <c r="J4" s="572">
        <f t="shared" si="8"/>
        <v>0</v>
      </c>
      <c r="K4" s="572">
        <f t="shared" si="9"/>
        <v>0</v>
      </c>
      <c r="L4" s="988">
        <f t="shared" si="10"/>
        <v>0</v>
      </c>
      <c r="M4" s="988">
        <f t="shared" si="11"/>
        <v>0</v>
      </c>
      <c r="N4" s="39">
        <f t="shared" si="12"/>
        <v>0</v>
      </c>
      <c r="O4" s="988">
        <f t="shared" si="13"/>
        <v>0</v>
      </c>
      <c r="P4" s="39">
        <f t="shared" si="14"/>
        <v>0</v>
      </c>
      <c r="Q4" s="39">
        <f t="shared" si="15"/>
        <v>0</v>
      </c>
      <c r="R4" s="988">
        <f t="shared" si="16"/>
        <v>0</v>
      </c>
      <c r="S4" s="988">
        <f t="shared" si="17"/>
        <v>0</v>
      </c>
      <c r="T4" s="1445">
        <f>IFERROR(VLOOKUP($A4,INPUTS!$C$17:$F$30,3,FALSE),0)</f>
        <v>0</v>
      </c>
      <c r="U4" s="1445">
        <f>IFERROR(VLOOKUP($A4,INPUTS!$C$17:$F$30,4,FALSE),0)</f>
        <v>0</v>
      </c>
      <c r="V4" s="988">
        <f t="shared" si="18"/>
        <v>0</v>
      </c>
      <c r="W4" s="988">
        <f t="shared" si="19"/>
        <v>0</v>
      </c>
      <c r="X4" s="988">
        <f t="shared" si="20"/>
        <v>0</v>
      </c>
      <c r="Y4" s="988">
        <f t="shared" si="21"/>
        <v>0</v>
      </c>
      <c r="Z4" s="988">
        <f t="shared" si="22"/>
        <v>0</v>
      </c>
      <c r="AA4" s="988">
        <f t="shared" si="23"/>
        <v>0</v>
      </c>
      <c r="AB4" s="988">
        <f t="shared" si="24"/>
        <v>0</v>
      </c>
      <c r="AC4" s="988">
        <f t="shared" si="25"/>
        <v>0</v>
      </c>
      <c r="AD4" s="988">
        <f t="shared" si="26"/>
        <v>0</v>
      </c>
      <c r="AE4" s="988">
        <f t="shared" si="27"/>
        <v>0</v>
      </c>
      <c r="AF4" s="988">
        <f t="shared" si="28"/>
        <v>0</v>
      </c>
      <c r="AG4" s="988">
        <f t="shared" si="29"/>
        <v>0</v>
      </c>
      <c r="AH4" s="988">
        <f t="shared" si="30"/>
        <v>0</v>
      </c>
      <c r="AI4" s="988">
        <f t="shared" si="31"/>
        <v>0</v>
      </c>
      <c r="AJ4" s="988">
        <f t="shared" si="32"/>
        <v>0</v>
      </c>
    </row>
    <row r="5" spans="1:36" s="981" customFormat="1" hidden="1">
      <c r="A5" s="982">
        <f>INPUTS!$C20</f>
        <v>0</v>
      </c>
      <c r="B5" s="988">
        <f t="shared" si="0"/>
        <v>0</v>
      </c>
      <c r="C5" s="988">
        <f t="shared" si="1"/>
        <v>0</v>
      </c>
      <c r="D5" s="988">
        <f t="shared" si="2"/>
        <v>0</v>
      </c>
      <c r="E5" s="988">
        <f t="shared" si="3"/>
        <v>0</v>
      </c>
      <c r="F5" s="988">
        <f t="shared" si="4"/>
        <v>0</v>
      </c>
      <c r="G5" s="988">
        <f t="shared" si="5"/>
        <v>0</v>
      </c>
      <c r="H5" s="572">
        <f t="shared" si="6"/>
        <v>0</v>
      </c>
      <c r="I5" s="988">
        <f t="shared" si="7"/>
        <v>0</v>
      </c>
      <c r="J5" s="572">
        <f t="shared" si="8"/>
        <v>0</v>
      </c>
      <c r="K5" s="572">
        <f t="shared" si="9"/>
        <v>0</v>
      </c>
      <c r="L5" s="988">
        <f t="shared" si="10"/>
        <v>0</v>
      </c>
      <c r="M5" s="988">
        <f t="shared" si="11"/>
        <v>0</v>
      </c>
      <c r="N5" s="39">
        <f t="shared" si="12"/>
        <v>0</v>
      </c>
      <c r="O5" s="988">
        <f t="shared" si="13"/>
        <v>0</v>
      </c>
      <c r="P5" s="39">
        <f t="shared" si="14"/>
        <v>0</v>
      </c>
      <c r="Q5" s="39">
        <f t="shared" si="15"/>
        <v>0</v>
      </c>
      <c r="R5" s="988">
        <f t="shared" si="16"/>
        <v>0</v>
      </c>
      <c r="S5" s="988">
        <f t="shared" si="17"/>
        <v>0</v>
      </c>
      <c r="T5" s="1445">
        <f>IFERROR(VLOOKUP($A5,INPUTS!$C$17:$F$30,3,FALSE),0)</f>
        <v>0</v>
      </c>
      <c r="U5" s="1445">
        <f>IFERROR(VLOOKUP($A5,INPUTS!$C$17:$F$30,4,FALSE),0)</f>
        <v>0</v>
      </c>
      <c r="V5" s="988">
        <f t="shared" si="18"/>
        <v>0</v>
      </c>
      <c r="W5" s="988">
        <f t="shared" si="19"/>
        <v>0</v>
      </c>
      <c r="X5" s="988">
        <f t="shared" si="20"/>
        <v>0</v>
      </c>
      <c r="Y5" s="988">
        <f t="shared" si="21"/>
        <v>0</v>
      </c>
      <c r="Z5" s="988">
        <f t="shared" si="22"/>
        <v>0</v>
      </c>
      <c r="AA5" s="988">
        <f t="shared" si="23"/>
        <v>0</v>
      </c>
      <c r="AB5" s="988">
        <f t="shared" si="24"/>
        <v>0</v>
      </c>
      <c r="AC5" s="988">
        <f t="shared" si="25"/>
        <v>0</v>
      </c>
      <c r="AD5" s="988">
        <f t="shared" si="26"/>
        <v>0</v>
      </c>
      <c r="AE5" s="988">
        <f t="shared" si="27"/>
        <v>0</v>
      </c>
      <c r="AF5" s="988">
        <f t="shared" si="28"/>
        <v>0</v>
      </c>
      <c r="AG5" s="988">
        <f t="shared" si="29"/>
        <v>0</v>
      </c>
      <c r="AH5" s="988">
        <f t="shared" si="30"/>
        <v>0</v>
      </c>
      <c r="AI5" s="988">
        <f t="shared" si="31"/>
        <v>0</v>
      </c>
      <c r="AJ5" s="988">
        <f t="shared" si="32"/>
        <v>0</v>
      </c>
    </row>
    <row r="6" spans="1:36" s="981" customFormat="1" hidden="1">
      <c r="A6" s="982">
        <f>INPUTS!$C21</f>
        <v>0</v>
      </c>
      <c r="B6" s="988">
        <f t="shared" si="0"/>
        <v>0</v>
      </c>
      <c r="C6" s="988">
        <f t="shared" si="1"/>
        <v>0</v>
      </c>
      <c r="D6" s="988">
        <f t="shared" si="2"/>
        <v>0</v>
      </c>
      <c r="E6" s="988">
        <f t="shared" si="3"/>
        <v>0</v>
      </c>
      <c r="F6" s="988">
        <f t="shared" si="4"/>
        <v>0</v>
      </c>
      <c r="G6" s="988">
        <f t="shared" si="5"/>
        <v>0</v>
      </c>
      <c r="H6" s="572">
        <f t="shared" si="6"/>
        <v>0</v>
      </c>
      <c r="I6" s="988">
        <f t="shared" si="7"/>
        <v>0</v>
      </c>
      <c r="J6" s="572">
        <f t="shared" si="8"/>
        <v>0</v>
      </c>
      <c r="K6" s="572">
        <f t="shared" si="9"/>
        <v>0</v>
      </c>
      <c r="L6" s="988">
        <f t="shared" si="10"/>
        <v>0</v>
      </c>
      <c r="M6" s="988">
        <f t="shared" si="11"/>
        <v>0</v>
      </c>
      <c r="N6" s="39">
        <f t="shared" si="12"/>
        <v>0</v>
      </c>
      <c r="O6" s="988">
        <f t="shared" si="13"/>
        <v>0</v>
      </c>
      <c r="P6" s="39">
        <f t="shared" si="14"/>
        <v>0</v>
      </c>
      <c r="Q6" s="39">
        <f t="shared" si="15"/>
        <v>0</v>
      </c>
      <c r="R6" s="988">
        <f t="shared" si="16"/>
        <v>0</v>
      </c>
      <c r="S6" s="988">
        <f t="shared" si="17"/>
        <v>0</v>
      </c>
      <c r="T6" s="1445">
        <f>IFERROR(VLOOKUP($A6,INPUTS!$C$17:$F$30,3,FALSE),0)</f>
        <v>0</v>
      </c>
      <c r="U6" s="1445">
        <f>IFERROR(VLOOKUP($A6,INPUTS!$C$17:$F$30,4,FALSE),0)</f>
        <v>0</v>
      </c>
      <c r="V6" s="988">
        <f t="shared" si="18"/>
        <v>0</v>
      </c>
      <c r="W6" s="988">
        <f t="shared" si="19"/>
        <v>0</v>
      </c>
      <c r="X6" s="988">
        <f t="shared" si="20"/>
        <v>0</v>
      </c>
      <c r="Y6" s="988">
        <f t="shared" si="21"/>
        <v>0</v>
      </c>
      <c r="Z6" s="988">
        <f t="shared" si="22"/>
        <v>0</v>
      </c>
      <c r="AA6" s="988">
        <f t="shared" si="23"/>
        <v>0</v>
      </c>
      <c r="AB6" s="988">
        <f t="shared" si="24"/>
        <v>0</v>
      </c>
      <c r="AC6" s="988">
        <f t="shared" si="25"/>
        <v>0</v>
      </c>
      <c r="AD6" s="988">
        <f t="shared" si="26"/>
        <v>0</v>
      </c>
      <c r="AE6" s="988">
        <f t="shared" si="27"/>
        <v>0</v>
      </c>
      <c r="AF6" s="988">
        <f t="shared" si="28"/>
        <v>0</v>
      </c>
      <c r="AG6" s="988">
        <f t="shared" si="29"/>
        <v>0</v>
      </c>
      <c r="AH6" s="988">
        <f t="shared" si="30"/>
        <v>0</v>
      </c>
      <c r="AI6" s="988">
        <f t="shared" si="31"/>
        <v>0</v>
      </c>
      <c r="AJ6" s="988">
        <f t="shared" si="32"/>
        <v>0</v>
      </c>
    </row>
    <row r="7" spans="1:36" s="981" customFormat="1" hidden="1">
      <c r="A7" s="982">
        <f>INPUTS!$C22</f>
        <v>0</v>
      </c>
      <c r="B7" s="988">
        <f t="shared" si="0"/>
        <v>0</v>
      </c>
      <c r="C7" s="988">
        <f t="shared" si="1"/>
        <v>0</v>
      </c>
      <c r="D7" s="988">
        <f t="shared" si="2"/>
        <v>0</v>
      </c>
      <c r="E7" s="988">
        <f t="shared" si="3"/>
        <v>0</v>
      </c>
      <c r="F7" s="988">
        <f t="shared" si="4"/>
        <v>0</v>
      </c>
      <c r="G7" s="988">
        <f t="shared" si="5"/>
        <v>0</v>
      </c>
      <c r="H7" s="572">
        <f t="shared" si="6"/>
        <v>0</v>
      </c>
      <c r="I7" s="988">
        <f t="shared" si="7"/>
        <v>0</v>
      </c>
      <c r="J7" s="572">
        <f t="shared" si="8"/>
        <v>0</v>
      </c>
      <c r="K7" s="572">
        <f t="shared" si="9"/>
        <v>0</v>
      </c>
      <c r="L7" s="988">
        <f t="shared" si="10"/>
        <v>0</v>
      </c>
      <c r="M7" s="988">
        <f t="shared" si="11"/>
        <v>0</v>
      </c>
      <c r="N7" s="39">
        <f t="shared" si="12"/>
        <v>0</v>
      </c>
      <c r="O7" s="988">
        <f t="shared" si="13"/>
        <v>0</v>
      </c>
      <c r="P7" s="39">
        <f t="shared" si="14"/>
        <v>0</v>
      </c>
      <c r="Q7" s="39">
        <f t="shared" si="15"/>
        <v>0</v>
      </c>
      <c r="R7" s="988">
        <f t="shared" si="16"/>
        <v>0</v>
      </c>
      <c r="S7" s="988">
        <f t="shared" si="17"/>
        <v>0</v>
      </c>
      <c r="T7" s="1445">
        <f>IFERROR(VLOOKUP($A7,INPUTS!$C$17:$F$30,3,FALSE),0)</f>
        <v>0</v>
      </c>
      <c r="U7" s="1445">
        <f>IFERROR(VLOOKUP($A7,INPUTS!$C$17:$F$30,4,FALSE),0)</f>
        <v>0</v>
      </c>
      <c r="V7" s="988">
        <f t="shared" si="18"/>
        <v>0</v>
      </c>
      <c r="W7" s="988">
        <f t="shared" si="19"/>
        <v>0</v>
      </c>
      <c r="X7" s="988">
        <f t="shared" si="20"/>
        <v>0</v>
      </c>
      <c r="Y7" s="988">
        <f t="shared" si="21"/>
        <v>0</v>
      </c>
      <c r="Z7" s="988">
        <f t="shared" si="22"/>
        <v>0</v>
      </c>
      <c r="AA7" s="988">
        <f t="shared" si="23"/>
        <v>0</v>
      </c>
      <c r="AB7" s="988">
        <f t="shared" si="24"/>
        <v>0</v>
      </c>
      <c r="AC7" s="988">
        <f t="shared" si="25"/>
        <v>0</v>
      </c>
      <c r="AD7" s="988">
        <f t="shared" si="26"/>
        <v>0</v>
      </c>
      <c r="AE7" s="988">
        <f t="shared" si="27"/>
        <v>0</v>
      </c>
      <c r="AF7" s="988">
        <f t="shared" si="28"/>
        <v>0</v>
      </c>
      <c r="AG7" s="988">
        <f t="shared" si="29"/>
        <v>0</v>
      </c>
      <c r="AH7" s="988">
        <f t="shared" si="30"/>
        <v>0</v>
      </c>
      <c r="AI7" s="988">
        <f t="shared" si="31"/>
        <v>0</v>
      </c>
      <c r="AJ7" s="988">
        <f t="shared" si="32"/>
        <v>0</v>
      </c>
    </row>
    <row r="8" spans="1:36" s="981" customFormat="1" hidden="1">
      <c r="A8" s="982">
        <f>INPUTS!$C23</f>
        <v>0</v>
      </c>
      <c r="B8" s="988">
        <f t="shared" si="0"/>
        <v>0</v>
      </c>
      <c r="C8" s="988">
        <f t="shared" si="1"/>
        <v>0</v>
      </c>
      <c r="D8" s="988">
        <f t="shared" si="2"/>
        <v>0</v>
      </c>
      <c r="E8" s="988">
        <f t="shared" si="3"/>
        <v>0</v>
      </c>
      <c r="F8" s="988">
        <f t="shared" si="4"/>
        <v>0</v>
      </c>
      <c r="G8" s="988">
        <f t="shared" si="5"/>
        <v>0</v>
      </c>
      <c r="H8" s="572">
        <f t="shared" si="6"/>
        <v>0</v>
      </c>
      <c r="I8" s="988">
        <f t="shared" si="7"/>
        <v>0</v>
      </c>
      <c r="J8" s="572">
        <f t="shared" si="8"/>
        <v>0</v>
      </c>
      <c r="K8" s="572">
        <f t="shared" si="9"/>
        <v>0</v>
      </c>
      <c r="L8" s="988">
        <f t="shared" si="10"/>
        <v>0</v>
      </c>
      <c r="M8" s="988">
        <f t="shared" si="11"/>
        <v>0</v>
      </c>
      <c r="N8" s="39">
        <f t="shared" si="12"/>
        <v>0</v>
      </c>
      <c r="O8" s="988">
        <f t="shared" si="13"/>
        <v>0</v>
      </c>
      <c r="P8" s="39">
        <f t="shared" si="14"/>
        <v>0</v>
      </c>
      <c r="Q8" s="39">
        <f t="shared" si="15"/>
        <v>0</v>
      </c>
      <c r="R8" s="988">
        <f t="shared" si="16"/>
        <v>0</v>
      </c>
      <c r="S8" s="988">
        <f t="shared" si="17"/>
        <v>0</v>
      </c>
      <c r="T8" s="1445">
        <f>IFERROR(VLOOKUP($A8,INPUTS!$C$17:$F$30,3,FALSE),0)</f>
        <v>0</v>
      </c>
      <c r="U8" s="1445">
        <f>IFERROR(VLOOKUP($A8,INPUTS!$C$17:$F$30,4,FALSE),0)</f>
        <v>0</v>
      </c>
      <c r="V8" s="988">
        <f t="shared" si="18"/>
        <v>0</v>
      </c>
      <c r="W8" s="988">
        <f t="shared" si="19"/>
        <v>0</v>
      </c>
      <c r="X8" s="988">
        <f t="shared" si="20"/>
        <v>0</v>
      </c>
      <c r="Y8" s="988">
        <f t="shared" si="21"/>
        <v>0</v>
      </c>
      <c r="Z8" s="988">
        <f t="shared" si="22"/>
        <v>0</v>
      </c>
      <c r="AA8" s="988">
        <f t="shared" si="23"/>
        <v>0</v>
      </c>
      <c r="AB8" s="988">
        <f t="shared" si="24"/>
        <v>0</v>
      </c>
      <c r="AC8" s="988">
        <f t="shared" si="25"/>
        <v>0</v>
      </c>
      <c r="AD8" s="988">
        <f t="shared" si="26"/>
        <v>0</v>
      </c>
      <c r="AE8" s="988">
        <f t="shared" si="27"/>
        <v>0</v>
      </c>
      <c r="AF8" s="988">
        <f t="shared" si="28"/>
        <v>0</v>
      </c>
      <c r="AG8" s="988">
        <f t="shared" si="29"/>
        <v>0</v>
      </c>
      <c r="AH8" s="988">
        <f t="shared" si="30"/>
        <v>0</v>
      </c>
      <c r="AI8" s="988">
        <f t="shared" si="31"/>
        <v>0</v>
      </c>
      <c r="AJ8" s="988">
        <f t="shared" si="32"/>
        <v>0</v>
      </c>
    </row>
    <row r="9" spans="1:36" s="981" customFormat="1" hidden="1">
      <c r="A9" s="982">
        <f>INPUTS!$C24</f>
        <v>0</v>
      </c>
      <c r="B9" s="988">
        <f t="shared" si="0"/>
        <v>0</v>
      </c>
      <c r="C9" s="988">
        <f t="shared" si="1"/>
        <v>0</v>
      </c>
      <c r="D9" s="988">
        <f t="shared" si="2"/>
        <v>0</v>
      </c>
      <c r="E9" s="988">
        <f t="shared" si="3"/>
        <v>0</v>
      </c>
      <c r="F9" s="988">
        <f t="shared" si="4"/>
        <v>0</v>
      </c>
      <c r="G9" s="988">
        <f t="shared" si="5"/>
        <v>0</v>
      </c>
      <c r="H9" s="572">
        <f t="shared" si="6"/>
        <v>0</v>
      </c>
      <c r="I9" s="988">
        <f t="shared" si="7"/>
        <v>0</v>
      </c>
      <c r="J9" s="572">
        <f t="shared" si="8"/>
        <v>0</v>
      </c>
      <c r="K9" s="572">
        <f t="shared" si="9"/>
        <v>0</v>
      </c>
      <c r="L9" s="988">
        <f t="shared" si="10"/>
        <v>0</v>
      </c>
      <c r="M9" s="988">
        <f t="shared" si="11"/>
        <v>0</v>
      </c>
      <c r="N9" s="39">
        <f t="shared" si="12"/>
        <v>0</v>
      </c>
      <c r="O9" s="988">
        <f t="shared" si="13"/>
        <v>0</v>
      </c>
      <c r="P9" s="39">
        <f t="shared" si="14"/>
        <v>0</v>
      </c>
      <c r="Q9" s="39">
        <f t="shared" si="15"/>
        <v>0</v>
      </c>
      <c r="R9" s="988">
        <f t="shared" si="16"/>
        <v>0</v>
      </c>
      <c r="S9" s="988">
        <f t="shared" si="17"/>
        <v>0</v>
      </c>
      <c r="T9" s="1445">
        <f>IFERROR(VLOOKUP($A9,INPUTS!$C$17:$F$30,3,FALSE),0)</f>
        <v>0</v>
      </c>
      <c r="U9" s="1445">
        <f>IFERROR(VLOOKUP($A9,INPUTS!$C$17:$F$30,4,FALSE),0)</f>
        <v>0</v>
      </c>
      <c r="V9" s="988">
        <f t="shared" si="18"/>
        <v>0</v>
      </c>
      <c r="W9" s="988">
        <f t="shared" si="19"/>
        <v>0</v>
      </c>
      <c r="X9" s="988">
        <f t="shared" si="20"/>
        <v>0</v>
      </c>
      <c r="Y9" s="988">
        <f t="shared" si="21"/>
        <v>0</v>
      </c>
      <c r="Z9" s="988">
        <f t="shared" si="22"/>
        <v>0</v>
      </c>
      <c r="AA9" s="988">
        <f t="shared" si="23"/>
        <v>0</v>
      </c>
      <c r="AB9" s="988">
        <f t="shared" si="24"/>
        <v>0</v>
      </c>
      <c r="AC9" s="988">
        <f t="shared" si="25"/>
        <v>0</v>
      </c>
      <c r="AD9" s="988">
        <f t="shared" si="26"/>
        <v>0</v>
      </c>
      <c r="AE9" s="988">
        <f t="shared" si="27"/>
        <v>0</v>
      </c>
      <c r="AF9" s="988">
        <f t="shared" si="28"/>
        <v>0</v>
      </c>
      <c r="AG9" s="988">
        <f t="shared" si="29"/>
        <v>0</v>
      </c>
      <c r="AH9" s="988">
        <f t="shared" si="30"/>
        <v>0</v>
      </c>
      <c r="AI9" s="988">
        <f t="shared" si="31"/>
        <v>0</v>
      </c>
      <c r="AJ9" s="988">
        <f t="shared" si="32"/>
        <v>0</v>
      </c>
    </row>
    <row r="10" spans="1:36" s="981" customFormat="1" hidden="1">
      <c r="A10" s="982">
        <f>INPUTS!$C25</f>
        <v>0</v>
      </c>
      <c r="B10" s="988">
        <f t="shared" si="0"/>
        <v>0</v>
      </c>
      <c r="C10" s="988">
        <f t="shared" si="1"/>
        <v>0</v>
      </c>
      <c r="D10" s="988">
        <f t="shared" si="2"/>
        <v>0</v>
      </c>
      <c r="E10" s="988">
        <f t="shared" si="3"/>
        <v>0</v>
      </c>
      <c r="F10" s="988">
        <f t="shared" si="4"/>
        <v>0</v>
      </c>
      <c r="G10" s="988">
        <f t="shared" si="5"/>
        <v>0</v>
      </c>
      <c r="H10" s="572">
        <f t="shared" si="6"/>
        <v>0</v>
      </c>
      <c r="I10" s="988">
        <f t="shared" si="7"/>
        <v>0</v>
      </c>
      <c r="J10" s="572">
        <f t="shared" si="8"/>
        <v>0</v>
      </c>
      <c r="K10" s="572">
        <f t="shared" si="9"/>
        <v>0</v>
      </c>
      <c r="L10" s="988">
        <f t="shared" si="10"/>
        <v>0</v>
      </c>
      <c r="M10" s="988">
        <f t="shared" si="11"/>
        <v>0</v>
      </c>
      <c r="N10" s="39">
        <f t="shared" si="12"/>
        <v>0</v>
      </c>
      <c r="O10" s="988">
        <f t="shared" si="13"/>
        <v>0</v>
      </c>
      <c r="P10" s="39">
        <f t="shared" si="14"/>
        <v>0</v>
      </c>
      <c r="Q10" s="39">
        <f t="shared" si="15"/>
        <v>0</v>
      </c>
      <c r="R10" s="988">
        <f t="shared" si="16"/>
        <v>0</v>
      </c>
      <c r="S10" s="988">
        <f t="shared" si="17"/>
        <v>0</v>
      </c>
      <c r="T10" s="1445">
        <f>IFERROR(VLOOKUP($A10,INPUTS!$C$17:$F$30,3,FALSE),0)</f>
        <v>0</v>
      </c>
      <c r="U10" s="1445">
        <f>IFERROR(VLOOKUP($A10,INPUTS!$C$17:$F$30,4,FALSE),0)</f>
        <v>0</v>
      </c>
      <c r="V10" s="988">
        <f t="shared" si="18"/>
        <v>0</v>
      </c>
      <c r="W10" s="988">
        <f t="shared" si="19"/>
        <v>0</v>
      </c>
      <c r="X10" s="988">
        <f t="shared" si="20"/>
        <v>0</v>
      </c>
      <c r="Y10" s="988">
        <f t="shared" si="21"/>
        <v>0</v>
      </c>
      <c r="Z10" s="988">
        <f t="shared" si="22"/>
        <v>0</v>
      </c>
      <c r="AA10" s="988">
        <f t="shared" si="23"/>
        <v>0</v>
      </c>
      <c r="AB10" s="988">
        <f t="shared" si="24"/>
        <v>0</v>
      </c>
      <c r="AC10" s="988">
        <f t="shared" si="25"/>
        <v>0</v>
      </c>
      <c r="AD10" s="988">
        <f t="shared" si="26"/>
        <v>0</v>
      </c>
      <c r="AE10" s="988">
        <f t="shared" si="27"/>
        <v>0</v>
      </c>
      <c r="AF10" s="988">
        <f t="shared" si="28"/>
        <v>0</v>
      </c>
      <c r="AG10" s="988">
        <f t="shared" si="29"/>
        <v>0</v>
      </c>
      <c r="AH10" s="988">
        <f t="shared" si="30"/>
        <v>0</v>
      </c>
      <c r="AI10" s="988">
        <f t="shared" si="31"/>
        <v>0</v>
      </c>
      <c r="AJ10" s="988">
        <f t="shared" si="32"/>
        <v>0</v>
      </c>
    </row>
    <row r="11" spans="1:36" s="981" customFormat="1" hidden="1">
      <c r="A11" s="983">
        <f>INPUTS!$C26</f>
        <v>0</v>
      </c>
      <c r="B11" s="988">
        <f t="shared" si="0"/>
        <v>0</v>
      </c>
      <c r="C11" s="988">
        <f t="shared" si="1"/>
        <v>0</v>
      </c>
      <c r="D11" s="988">
        <f t="shared" si="2"/>
        <v>0</v>
      </c>
      <c r="E11" s="988">
        <f t="shared" si="3"/>
        <v>0</v>
      </c>
      <c r="F11" s="988">
        <f t="shared" si="4"/>
        <v>0</v>
      </c>
      <c r="G11" s="988">
        <f t="shared" si="5"/>
        <v>0</v>
      </c>
      <c r="H11" s="572">
        <f t="shared" si="6"/>
        <v>0</v>
      </c>
      <c r="I11" s="988">
        <f t="shared" si="7"/>
        <v>0</v>
      </c>
      <c r="J11" s="572">
        <f t="shared" si="8"/>
        <v>0</v>
      </c>
      <c r="K11" s="572">
        <f t="shared" si="9"/>
        <v>0</v>
      </c>
      <c r="L11" s="988">
        <f t="shared" si="10"/>
        <v>0</v>
      </c>
      <c r="M11" s="988">
        <f t="shared" si="11"/>
        <v>0</v>
      </c>
      <c r="N11" s="39">
        <f t="shared" si="12"/>
        <v>0</v>
      </c>
      <c r="O11" s="988">
        <f t="shared" si="13"/>
        <v>0</v>
      </c>
      <c r="P11" s="39">
        <f t="shared" si="14"/>
        <v>0</v>
      </c>
      <c r="Q11" s="39">
        <f t="shared" si="15"/>
        <v>0</v>
      </c>
      <c r="R11" s="988">
        <f t="shared" si="16"/>
        <v>0</v>
      </c>
      <c r="S11" s="988">
        <f t="shared" si="17"/>
        <v>0</v>
      </c>
      <c r="T11" s="1445">
        <f>IFERROR(VLOOKUP($A11,INPUTS!$C$17:$F$30,3,FALSE),0)</f>
        <v>0</v>
      </c>
      <c r="U11" s="1445">
        <f>IFERROR(VLOOKUP($A11,INPUTS!$C$17:$F$30,4,FALSE),0)</f>
        <v>0</v>
      </c>
      <c r="V11" s="988">
        <f t="shared" si="18"/>
        <v>0</v>
      </c>
      <c r="W11" s="988">
        <f t="shared" si="19"/>
        <v>0</v>
      </c>
      <c r="X11" s="988">
        <f t="shared" si="20"/>
        <v>0</v>
      </c>
      <c r="Y11" s="988">
        <f t="shared" si="21"/>
        <v>0</v>
      </c>
      <c r="Z11" s="988">
        <f t="shared" si="22"/>
        <v>0</v>
      </c>
      <c r="AA11" s="988">
        <f t="shared" si="23"/>
        <v>0</v>
      </c>
      <c r="AB11" s="988">
        <f t="shared" si="24"/>
        <v>0</v>
      </c>
      <c r="AC11" s="988">
        <f t="shared" si="25"/>
        <v>0</v>
      </c>
      <c r="AD11" s="988">
        <f t="shared" si="26"/>
        <v>0</v>
      </c>
      <c r="AE11" s="988">
        <f t="shared" si="27"/>
        <v>0</v>
      </c>
      <c r="AF11" s="988">
        <f t="shared" si="28"/>
        <v>0</v>
      </c>
      <c r="AG11" s="988">
        <f t="shared" si="29"/>
        <v>0</v>
      </c>
      <c r="AH11" s="988">
        <f t="shared" si="30"/>
        <v>0</v>
      </c>
      <c r="AI11" s="988">
        <f t="shared" si="31"/>
        <v>0</v>
      </c>
      <c r="AJ11" s="988">
        <f t="shared" si="32"/>
        <v>0</v>
      </c>
    </row>
    <row r="12" spans="1:36" s="983" customFormat="1" hidden="1">
      <c r="A12" s="983">
        <f>INPUTS!$C27</f>
        <v>0</v>
      </c>
      <c r="B12" s="988">
        <f t="shared" si="0"/>
        <v>0</v>
      </c>
      <c r="C12" s="988">
        <f t="shared" si="1"/>
        <v>0</v>
      </c>
      <c r="D12" s="988">
        <f t="shared" si="2"/>
        <v>0</v>
      </c>
      <c r="E12" s="988">
        <f t="shared" si="3"/>
        <v>0</v>
      </c>
      <c r="F12" s="988">
        <f t="shared" si="4"/>
        <v>0</v>
      </c>
      <c r="G12" s="988">
        <f t="shared" si="5"/>
        <v>0</v>
      </c>
      <c r="H12" s="572">
        <f t="shared" si="6"/>
        <v>0</v>
      </c>
      <c r="I12" s="988">
        <f t="shared" si="7"/>
        <v>0</v>
      </c>
      <c r="J12" s="572">
        <f t="shared" si="8"/>
        <v>0</v>
      </c>
      <c r="K12" s="572">
        <f t="shared" si="9"/>
        <v>0</v>
      </c>
      <c r="L12" s="988">
        <f t="shared" si="10"/>
        <v>0</v>
      </c>
      <c r="M12" s="988">
        <f t="shared" si="11"/>
        <v>0</v>
      </c>
      <c r="N12" s="39">
        <f t="shared" si="12"/>
        <v>0</v>
      </c>
      <c r="O12" s="988">
        <f t="shared" si="13"/>
        <v>0</v>
      </c>
      <c r="P12" s="39">
        <f t="shared" si="14"/>
        <v>0</v>
      </c>
      <c r="Q12" s="39">
        <f t="shared" si="15"/>
        <v>0</v>
      </c>
      <c r="R12" s="988">
        <f t="shared" si="16"/>
        <v>0</v>
      </c>
      <c r="S12" s="988">
        <f t="shared" si="17"/>
        <v>0</v>
      </c>
      <c r="T12" s="1445">
        <f>IFERROR(VLOOKUP($A12,INPUTS!$C$17:$F$30,3,FALSE),0)</f>
        <v>0</v>
      </c>
      <c r="U12" s="1445">
        <f>IFERROR(VLOOKUP($A12,INPUTS!$C$17:$F$30,4,FALSE),0)</f>
        <v>0</v>
      </c>
      <c r="V12" s="988">
        <f t="shared" si="18"/>
        <v>0</v>
      </c>
      <c r="W12" s="988">
        <f t="shared" si="19"/>
        <v>0</v>
      </c>
      <c r="X12" s="988">
        <f t="shared" si="20"/>
        <v>0</v>
      </c>
      <c r="Y12" s="988">
        <f t="shared" si="21"/>
        <v>0</v>
      </c>
      <c r="Z12" s="988">
        <f t="shared" si="22"/>
        <v>0</v>
      </c>
      <c r="AA12" s="988">
        <f t="shared" si="23"/>
        <v>0</v>
      </c>
      <c r="AB12" s="988">
        <f t="shared" si="24"/>
        <v>0</v>
      </c>
      <c r="AC12" s="988">
        <f t="shared" si="25"/>
        <v>0</v>
      </c>
      <c r="AD12" s="988">
        <f t="shared" si="26"/>
        <v>0</v>
      </c>
      <c r="AE12" s="988">
        <f t="shared" si="27"/>
        <v>0</v>
      </c>
      <c r="AF12" s="988">
        <f t="shared" si="28"/>
        <v>0</v>
      </c>
      <c r="AG12" s="988">
        <f t="shared" si="29"/>
        <v>0</v>
      </c>
      <c r="AH12" s="988">
        <f t="shared" si="30"/>
        <v>0</v>
      </c>
      <c r="AI12" s="988">
        <f t="shared" si="31"/>
        <v>0</v>
      </c>
      <c r="AJ12" s="988">
        <f t="shared" si="32"/>
        <v>0</v>
      </c>
    </row>
    <row r="13" spans="1:36" s="983" customFormat="1" hidden="1">
      <c r="A13" s="983">
        <f>INPUTS!$C28</f>
        <v>0</v>
      </c>
      <c r="B13" s="988">
        <f t="shared" si="0"/>
        <v>0</v>
      </c>
      <c r="C13" s="988">
        <f t="shared" si="1"/>
        <v>0</v>
      </c>
      <c r="D13" s="988">
        <f t="shared" si="2"/>
        <v>0</v>
      </c>
      <c r="E13" s="988">
        <f t="shared" si="3"/>
        <v>0</v>
      </c>
      <c r="F13" s="988">
        <f t="shared" si="4"/>
        <v>0</v>
      </c>
      <c r="G13" s="988">
        <f t="shared" si="5"/>
        <v>0</v>
      </c>
      <c r="H13" s="572">
        <f t="shared" si="6"/>
        <v>0</v>
      </c>
      <c r="I13" s="988">
        <f t="shared" si="7"/>
        <v>0</v>
      </c>
      <c r="J13" s="572">
        <f t="shared" si="8"/>
        <v>0</v>
      </c>
      <c r="K13" s="572">
        <f t="shared" si="9"/>
        <v>0</v>
      </c>
      <c r="L13" s="988">
        <f t="shared" si="10"/>
        <v>0</v>
      </c>
      <c r="M13" s="988">
        <f t="shared" si="11"/>
        <v>0</v>
      </c>
      <c r="N13" s="39">
        <f t="shared" si="12"/>
        <v>0</v>
      </c>
      <c r="O13" s="988">
        <f t="shared" si="13"/>
        <v>0</v>
      </c>
      <c r="P13" s="39">
        <f t="shared" si="14"/>
        <v>0</v>
      </c>
      <c r="Q13" s="39">
        <f t="shared" si="15"/>
        <v>0</v>
      </c>
      <c r="R13" s="988">
        <f t="shared" si="16"/>
        <v>0</v>
      </c>
      <c r="S13" s="988">
        <f t="shared" si="17"/>
        <v>0</v>
      </c>
      <c r="T13" s="1445">
        <f>IFERROR(VLOOKUP($A13,INPUTS!$C$17:$F$30,3,FALSE),0)</f>
        <v>0</v>
      </c>
      <c r="U13" s="1445">
        <f>IFERROR(VLOOKUP($A13,INPUTS!$C$17:$F$30,4,FALSE),0)</f>
        <v>0</v>
      </c>
      <c r="V13" s="988">
        <f t="shared" si="18"/>
        <v>0</v>
      </c>
      <c r="W13" s="988">
        <f t="shared" si="19"/>
        <v>0</v>
      </c>
      <c r="X13" s="988">
        <f t="shared" si="20"/>
        <v>0</v>
      </c>
      <c r="Y13" s="988">
        <f t="shared" si="21"/>
        <v>0</v>
      </c>
      <c r="Z13" s="988">
        <f t="shared" si="22"/>
        <v>0</v>
      </c>
      <c r="AA13" s="988">
        <f t="shared" si="23"/>
        <v>0</v>
      </c>
      <c r="AB13" s="988">
        <f t="shared" si="24"/>
        <v>0</v>
      </c>
      <c r="AC13" s="988">
        <f t="shared" si="25"/>
        <v>0</v>
      </c>
      <c r="AD13" s="988">
        <f t="shared" si="26"/>
        <v>0</v>
      </c>
      <c r="AE13" s="988">
        <f t="shared" si="27"/>
        <v>0</v>
      </c>
      <c r="AF13" s="988">
        <f t="shared" si="28"/>
        <v>0</v>
      </c>
      <c r="AG13" s="988">
        <f t="shared" si="29"/>
        <v>0</v>
      </c>
      <c r="AH13" s="988">
        <f t="shared" si="30"/>
        <v>0</v>
      </c>
      <c r="AI13" s="988">
        <f t="shared" si="31"/>
        <v>0</v>
      </c>
      <c r="AJ13" s="988">
        <f t="shared" si="32"/>
        <v>0</v>
      </c>
    </row>
    <row r="14" spans="1:36" s="983" customFormat="1" hidden="1">
      <c r="A14" s="983">
        <f>INPUTS!$C29</f>
        <v>0</v>
      </c>
      <c r="B14" s="988">
        <f t="shared" si="0"/>
        <v>0</v>
      </c>
      <c r="C14" s="988">
        <f t="shared" si="1"/>
        <v>0</v>
      </c>
      <c r="D14" s="988">
        <f t="shared" si="2"/>
        <v>0</v>
      </c>
      <c r="E14" s="988">
        <f t="shared" si="3"/>
        <v>0</v>
      </c>
      <c r="F14" s="988">
        <f t="shared" si="4"/>
        <v>0</v>
      </c>
      <c r="G14" s="988">
        <f t="shared" si="5"/>
        <v>0</v>
      </c>
      <c r="H14" s="572">
        <f t="shared" si="6"/>
        <v>0</v>
      </c>
      <c r="I14" s="988">
        <f t="shared" si="7"/>
        <v>0</v>
      </c>
      <c r="J14" s="572">
        <f t="shared" si="8"/>
        <v>0</v>
      </c>
      <c r="K14" s="572">
        <f t="shared" si="9"/>
        <v>0</v>
      </c>
      <c r="L14" s="988">
        <f t="shared" si="10"/>
        <v>0</v>
      </c>
      <c r="M14" s="988">
        <f t="shared" si="11"/>
        <v>0</v>
      </c>
      <c r="N14" s="39">
        <f t="shared" si="12"/>
        <v>0</v>
      </c>
      <c r="O14" s="988">
        <f t="shared" si="13"/>
        <v>0</v>
      </c>
      <c r="P14" s="39">
        <f t="shared" si="14"/>
        <v>0</v>
      </c>
      <c r="Q14" s="39">
        <f t="shared" si="15"/>
        <v>0</v>
      </c>
      <c r="R14" s="988">
        <f t="shared" si="16"/>
        <v>0</v>
      </c>
      <c r="S14" s="988">
        <f t="shared" si="17"/>
        <v>0</v>
      </c>
      <c r="T14" s="1445">
        <f>IFERROR(VLOOKUP($A14,INPUTS!$C$17:$F$30,3,FALSE),0)</f>
        <v>0</v>
      </c>
      <c r="U14" s="1445">
        <f>IFERROR(VLOOKUP($A14,INPUTS!$C$17:$F$30,4,FALSE),0)</f>
        <v>0</v>
      </c>
      <c r="V14" s="988">
        <f t="shared" si="18"/>
        <v>0</v>
      </c>
      <c r="W14" s="988">
        <f t="shared" si="19"/>
        <v>0</v>
      </c>
      <c r="X14" s="988">
        <f t="shared" si="20"/>
        <v>0</v>
      </c>
      <c r="Y14" s="988">
        <f t="shared" si="21"/>
        <v>0</v>
      </c>
      <c r="Z14" s="988">
        <f t="shared" si="22"/>
        <v>0</v>
      </c>
      <c r="AA14" s="988">
        <f t="shared" si="23"/>
        <v>0</v>
      </c>
      <c r="AB14" s="988">
        <f t="shared" si="24"/>
        <v>0</v>
      </c>
      <c r="AC14" s="988">
        <f t="shared" si="25"/>
        <v>0</v>
      </c>
      <c r="AD14" s="988">
        <f t="shared" si="26"/>
        <v>0</v>
      </c>
      <c r="AE14" s="988">
        <f t="shared" si="27"/>
        <v>0</v>
      </c>
      <c r="AF14" s="988">
        <f t="shared" si="28"/>
        <v>0</v>
      </c>
      <c r="AG14" s="988">
        <f t="shared" si="29"/>
        <v>0</v>
      </c>
      <c r="AH14" s="988">
        <f t="shared" si="30"/>
        <v>0</v>
      </c>
      <c r="AI14" s="988">
        <f t="shared" si="31"/>
        <v>0</v>
      </c>
      <c r="AJ14" s="988">
        <f t="shared" si="32"/>
        <v>0</v>
      </c>
    </row>
    <row r="15" spans="1:36" s="983" customFormat="1" hidden="1">
      <c r="A15" s="983">
        <f>INPUTS!$C30</f>
        <v>0</v>
      </c>
      <c r="B15" s="988">
        <f t="shared" si="0"/>
        <v>0</v>
      </c>
      <c r="C15" s="988">
        <f t="shared" si="1"/>
        <v>0</v>
      </c>
      <c r="D15" s="988">
        <f t="shared" si="2"/>
        <v>0</v>
      </c>
      <c r="E15" s="988">
        <f t="shared" si="3"/>
        <v>0</v>
      </c>
      <c r="F15" s="988">
        <f t="shared" si="4"/>
        <v>0</v>
      </c>
      <c r="G15" s="988">
        <f t="shared" si="5"/>
        <v>0</v>
      </c>
      <c r="H15" s="572">
        <f t="shared" si="6"/>
        <v>0</v>
      </c>
      <c r="I15" s="988">
        <f t="shared" si="7"/>
        <v>0</v>
      </c>
      <c r="J15" s="572">
        <f t="shared" si="8"/>
        <v>0</v>
      </c>
      <c r="K15" s="572">
        <f t="shared" si="9"/>
        <v>0</v>
      </c>
      <c r="L15" s="988">
        <f t="shared" si="10"/>
        <v>0</v>
      </c>
      <c r="M15" s="988">
        <f t="shared" si="11"/>
        <v>0</v>
      </c>
      <c r="N15" s="39">
        <f t="shared" si="12"/>
        <v>0</v>
      </c>
      <c r="O15" s="988">
        <f t="shared" si="13"/>
        <v>0</v>
      </c>
      <c r="P15" s="39">
        <f t="shared" si="14"/>
        <v>0</v>
      </c>
      <c r="Q15" s="39">
        <f t="shared" si="15"/>
        <v>0</v>
      </c>
      <c r="R15" s="988">
        <f t="shared" si="16"/>
        <v>0</v>
      </c>
      <c r="S15" s="988">
        <f t="shared" si="17"/>
        <v>0</v>
      </c>
      <c r="T15" s="1445">
        <f>IFERROR(VLOOKUP($A15,INPUTS!$C$17:$F$30,3,FALSE),0)</f>
        <v>0</v>
      </c>
      <c r="U15" s="1445">
        <f>IFERROR(VLOOKUP($A15,INPUTS!$C$17:$F$30,4,FALSE),0)</f>
        <v>0</v>
      </c>
      <c r="V15" s="988">
        <f t="shared" si="18"/>
        <v>0</v>
      </c>
      <c r="W15" s="988">
        <f t="shared" si="19"/>
        <v>0</v>
      </c>
      <c r="X15" s="988">
        <f t="shared" si="20"/>
        <v>0</v>
      </c>
      <c r="Y15" s="988">
        <f t="shared" si="21"/>
        <v>0</v>
      </c>
      <c r="Z15" s="988">
        <f t="shared" si="22"/>
        <v>0</v>
      </c>
      <c r="AA15" s="988">
        <f t="shared" si="23"/>
        <v>0</v>
      </c>
      <c r="AB15" s="988">
        <f t="shared" si="24"/>
        <v>0</v>
      </c>
      <c r="AC15" s="988">
        <f t="shared" si="25"/>
        <v>0</v>
      </c>
      <c r="AD15" s="988">
        <f t="shared" si="26"/>
        <v>0</v>
      </c>
      <c r="AE15" s="988">
        <f t="shared" si="27"/>
        <v>0</v>
      </c>
      <c r="AF15" s="988">
        <f t="shared" si="28"/>
        <v>0</v>
      </c>
      <c r="AG15" s="988">
        <f t="shared" si="29"/>
        <v>0</v>
      </c>
      <c r="AH15" s="988">
        <f t="shared" si="30"/>
        <v>0</v>
      </c>
      <c r="AI15" s="988">
        <f t="shared" si="31"/>
        <v>0</v>
      </c>
      <c r="AJ15" s="988">
        <f t="shared" si="32"/>
        <v>0</v>
      </c>
    </row>
    <row r="16" spans="1:36" s="981" customFormat="1" hidden="1">
      <c r="G16" s="708"/>
      <c r="H16" s="708"/>
      <c r="I16" s="708"/>
      <c r="J16" s="708"/>
      <c r="K16" s="708"/>
      <c r="L16" s="708"/>
      <c r="M16" s="708"/>
      <c r="N16" s="708"/>
      <c r="O16" s="708"/>
      <c r="P16" s="708"/>
    </row>
    <row r="17" spans="1:52" hidden="1">
      <c r="A17" s="649"/>
      <c r="B17" s="649"/>
      <c r="C17" s="649"/>
      <c r="D17" s="649"/>
      <c r="E17" s="649"/>
      <c r="F17" s="649"/>
      <c r="G17" s="649"/>
      <c r="H17" s="649"/>
      <c r="I17" s="705"/>
      <c r="J17" s="705"/>
      <c r="K17" s="705"/>
      <c r="L17" s="705"/>
      <c r="M17" s="705"/>
      <c r="N17" s="705"/>
      <c r="O17" s="705"/>
      <c r="P17" s="705"/>
      <c r="Q17" s="705"/>
      <c r="R17" s="705"/>
      <c r="S17" s="649"/>
      <c r="T17" s="649"/>
      <c r="U17" s="649"/>
      <c r="V17" s="649"/>
      <c r="W17" s="649"/>
      <c r="X17" s="649"/>
      <c r="Y17" s="649"/>
      <c r="Z17" s="649"/>
      <c r="AA17" s="649"/>
      <c r="AB17" s="649"/>
      <c r="AC17" s="649"/>
      <c r="AD17" s="649"/>
      <c r="AE17" s="649"/>
    </row>
    <row r="18" spans="1:52" s="144" customFormat="1" ht="16.5" hidden="1" thickBot="1">
      <c r="A18" s="11"/>
      <c r="B18" s="11"/>
      <c r="C18" s="11"/>
      <c r="D18" s="11"/>
      <c r="E18" s="11"/>
      <c r="F18" s="11"/>
      <c r="G18" s="11"/>
      <c r="H18" s="11"/>
      <c r="I18" s="706"/>
      <c r="J18" s="706"/>
      <c r="L18" s="706"/>
      <c r="M18" s="706"/>
      <c r="N18" s="706"/>
      <c r="O18" s="706"/>
      <c r="P18" s="706"/>
      <c r="Q18" s="706"/>
      <c r="R18" s="706"/>
      <c r="S18" s="706"/>
      <c r="T18" s="706"/>
      <c r="U18" s="11"/>
      <c r="V18" s="11"/>
      <c r="W18" s="11"/>
      <c r="X18" s="142"/>
      <c r="Y18" s="11"/>
      <c r="Z18" s="142"/>
      <c r="AA18" s="142"/>
      <c r="AB18" s="142"/>
      <c r="AC18" s="142"/>
      <c r="AD18" s="142"/>
      <c r="AE18" s="650"/>
      <c r="AF18" s="650"/>
      <c r="AG18" s="650"/>
      <c r="AJ18" s="227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2" customFormat="1" ht="105.95" customHeight="1">
      <c r="A19" s="651" t="s">
        <v>80</v>
      </c>
      <c r="B19" s="652" t="s">
        <v>630</v>
      </c>
      <c r="C19" s="652" t="s">
        <v>1731</v>
      </c>
      <c r="D19" s="652" t="s">
        <v>1778</v>
      </c>
      <c r="E19" s="652" t="s">
        <v>1732</v>
      </c>
      <c r="F19" s="652" t="s">
        <v>1733</v>
      </c>
      <c r="G19" s="652" t="s">
        <v>1595</v>
      </c>
      <c r="H19" s="652" t="s">
        <v>1670</v>
      </c>
      <c r="I19" s="652" t="s">
        <v>1448</v>
      </c>
      <c r="J19" s="652" t="s">
        <v>1596</v>
      </c>
      <c r="K19" s="964" t="s">
        <v>1787</v>
      </c>
      <c r="L19" s="652" t="s">
        <v>1786</v>
      </c>
      <c r="M19" s="652" t="s">
        <v>1450</v>
      </c>
      <c r="N19" s="652" t="s">
        <v>1672</v>
      </c>
      <c r="O19" s="652" t="s">
        <v>1451</v>
      </c>
      <c r="P19" s="652" t="s">
        <v>1673</v>
      </c>
      <c r="Q19" s="652" t="s">
        <v>1788</v>
      </c>
      <c r="R19" s="652" t="s">
        <v>1789</v>
      </c>
      <c r="S19" s="652" t="s">
        <v>1674</v>
      </c>
      <c r="T19" s="652" t="s">
        <v>1353</v>
      </c>
      <c r="U19" s="653" t="s">
        <v>1352</v>
      </c>
      <c r="V19" s="932" t="s">
        <v>1725</v>
      </c>
      <c r="W19" s="653" t="s">
        <v>1120</v>
      </c>
      <c r="X19" s="653" t="s">
        <v>1121</v>
      </c>
      <c r="Y19" s="653" t="s">
        <v>1122</v>
      </c>
      <c r="Z19" s="652" t="s">
        <v>1123</v>
      </c>
      <c r="AA19" s="653" t="s">
        <v>1341</v>
      </c>
      <c r="AB19" s="652" t="s">
        <v>1340</v>
      </c>
      <c r="AC19" s="652" t="s">
        <v>1124</v>
      </c>
      <c r="AD19" s="652" t="s">
        <v>1125</v>
      </c>
      <c r="AE19" s="808"/>
      <c r="AF19" s="808" t="s">
        <v>1579</v>
      </c>
      <c r="AG19" s="926" t="s">
        <v>1711</v>
      </c>
      <c r="AH19" s="819" t="s">
        <v>1712</v>
      </c>
      <c r="AI19" s="819" t="s">
        <v>1713</v>
      </c>
      <c r="AJ19" s="1086" t="s">
        <v>1710</v>
      </c>
      <c r="AL19" s="984"/>
      <c r="AM19" s="984"/>
      <c r="AN19" s="984"/>
      <c r="AO19" s="984"/>
      <c r="AP19" s="984"/>
      <c r="AQ19" s="984"/>
      <c r="AR19" s="984"/>
      <c r="AS19" s="2"/>
      <c r="AT19" s="2"/>
      <c r="AU19" s="2"/>
      <c r="AV19" s="2"/>
      <c r="AW19" s="2"/>
      <c r="AX19" s="2"/>
      <c r="AY19" s="2"/>
      <c r="AZ19" s="2"/>
    </row>
    <row r="20" spans="1:52" s="144" customFormat="1">
      <c r="A20" s="1386" t="s">
        <v>1813</v>
      </c>
      <c r="B20" s="865">
        <v>350</v>
      </c>
      <c r="C20" s="865"/>
      <c r="D20" s="865"/>
      <c r="E20" s="865"/>
      <c r="F20" s="867"/>
      <c r="G20" s="1382">
        <f>2*INPUTS!L17</f>
        <v>0</v>
      </c>
      <c r="H20" s="1382">
        <f>0.5*B20^0.75</f>
        <v>40.459549017674419</v>
      </c>
      <c r="I20" s="866">
        <v>2</v>
      </c>
      <c r="J20" s="866">
        <v>1260</v>
      </c>
      <c r="K20" s="1389"/>
      <c r="L20" s="866">
        <v>5.5</v>
      </c>
      <c r="M20" s="866"/>
      <c r="N20" s="1394">
        <f>0.001*B20</f>
        <v>0.35000000000000003</v>
      </c>
      <c r="O20" s="1394"/>
      <c r="P20" s="867">
        <v>9.64</v>
      </c>
      <c r="Q20" s="867"/>
      <c r="R20" s="867">
        <v>0.09</v>
      </c>
      <c r="S20" s="866"/>
      <c r="T20" s="1394"/>
      <c r="U20" s="1394"/>
      <c r="V20" s="868">
        <f>15/12</f>
        <v>1.25</v>
      </c>
      <c r="W20" s="869">
        <v>3.2</v>
      </c>
      <c r="X20" s="869">
        <v>4</v>
      </c>
      <c r="Y20" s="1450">
        <v>970</v>
      </c>
      <c r="Z20" s="869">
        <v>2200</v>
      </c>
      <c r="AA20" s="869">
        <v>26</v>
      </c>
      <c r="AB20" s="869"/>
      <c r="AC20" s="868"/>
      <c r="AD20" s="869">
        <v>2.9000000000000001E-2</v>
      </c>
      <c r="AE20" s="1390"/>
      <c r="AF20" s="1399" t="s">
        <v>1580</v>
      </c>
      <c r="AG20" s="1400">
        <v>500</v>
      </c>
      <c r="AH20" s="1401">
        <v>8</v>
      </c>
      <c r="AI20" s="1401"/>
      <c r="AJ20" s="1402">
        <v>4</v>
      </c>
    </row>
    <row r="21" spans="1:52" s="144" customFormat="1">
      <c r="A21" s="1386" t="s">
        <v>1814</v>
      </c>
      <c r="B21" s="865">
        <v>381</v>
      </c>
      <c r="C21" s="865"/>
      <c r="D21" s="865"/>
      <c r="E21" s="865"/>
      <c r="F21" s="867"/>
      <c r="G21" s="1382">
        <f>2*INPUTS!L18</f>
        <v>0</v>
      </c>
      <c r="H21" s="1382">
        <f>0.5*B21^0.75</f>
        <v>43.118509116603107</v>
      </c>
      <c r="I21" s="866">
        <v>2</v>
      </c>
      <c r="J21" s="866">
        <v>1500</v>
      </c>
      <c r="K21" s="1389"/>
      <c r="L21" s="866">
        <v>5.5</v>
      </c>
      <c r="M21" s="866"/>
      <c r="N21" s="1394">
        <f>0.001*B21</f>
        <v>0.38100000000000001</v>
      </c>
      <c r="O21" s="1394"/>
      <c r="P21" s="867">
        <v>12.21</v>
      </c>
      <c r="Q21" s="867"/>
      <c r="R21" s="867">
        <v>0.09</v>
      </c>
      <c r="S21" s="866"/>
      <c r="T21" s="1394"/>
      <c r="U21" s="1394"/>
      <c r="V21" s="991">
        <f>14/12</f>
        <v>1.1666666666666667</v>
      </c>
      <c r="W21" s="869">
        <v>3.2</v>
      </c>
      <c r="X21" s="869">
        <v>4</v>
      </c>
      <c r="Y21" s="1450">
        <v>970</v>
      </c>
      <c r="Z21" s="869">
        <v>2200</v>
      </c>
      <c r="AA21" s="869">
        <v>26</v>
      </c>
      <c r="AB21" s="869"/>
      <c r="AC21" s="868"/>
      <c r="AD21" s="869">
        <v>2.9000000000000001E-2</v>
      </c>
      <c r="AE21" s="1390"/>
      <c r="AF21" s="1403" t="s">
        <v>1580</v>
      </c>
      <c r="AG21" s="1404">
        <v>1500</v>
      </c>
      <c r="AH21" s="1405">
        <v>20</v>
      </c>
      <c r="AI21" s="1405"/>
      <c r="AJ21" s="1406">
        <v>8</v>
      </c>
    </row>
    <row r="22" spans="1:52" s="144" customFormat="1">
      <c r="A22" s="1386" t="s">
        <v>1067</v>
      </c>
      <c r="B22" s="871">
        <v>400</v>
      </c>
      <c r="C22" s="871"/>
      <c r="D22" s="871"/>
      <c r="E22" s="871"/>
      <c r="F22" s="933"/>
      <c r="G22" s="1382">
        <f>2*INPUTS!L19</f>
        <v>0</v>
      </c>
      <c r="H22" s="1382">
        <f t="shared" ref="H22:H27" si="33">0.5*B22^0.75</f>
        <v>44.721359549995796</v>
      </c>
      <c r="I22" s="866">
        <v>2</v>
      </c>
      <c r="J22" s="866"/>
      <c r="K22" s="871"/>
      <c r="L22" s="871"/>
      <c r="M22" s="871"/>
      <c r="N22" s="1394">
        <f t="shared" ref="N22:N27" si="34">0.001*B22</f>
        <v>0.4</v>
      </c>
      <c r="O22" s="1394"/>
      <c r="P22" s="871"/>
      <c r="Q22" s="871"/>
      <c r="R22" s="871"/>
      <c r="S22" s="871"/>
      <c r="T22" s="1394"/>
      <c r="U22" s="1394"/>
      <c r="V22" s="1448"/>
      <c r="W22" s="1448"/>
      <c r="X22" s="1448"/>
      <c r="Y22" s="1448"/>
      <c r="Z22" s="869">
        <v>2200</v>
      </c>
      <c r="AA22" s="869">
        <v>26</v>
      </c>
      <c r="AB22" s="869"/>
      <c r="AC22" s="868"/>
      <c r="AD22" s="869">
        <v>2.9000000000000001E-2</v>
      </c>
      <c r="AE22" s="1390"/>
      <c r="AF22" s="1403" t="s">
        <v>1580</v>
      </c>
      <c r="AG22" s="1404">
        <v>1500</v>
      </c>
      <c r="AH22" s="1405">
        <v>8</v>
      </c>
      <c r="AI22" s="1405"/>
      <c r="AJ22" s="1406">
        <v>2</v>
      </c>
    </row>
    <row r="23" spans="1:52" s="144" customFormat="1">
      <c r="A23" s="1386" t="s">
        <v>1018</v>
      </c>
      <c r="B23" s="871">
        <v>290</v>
      </c>
      <c r="C23" s="871"/>
      <c r="D23" s="871"/>
      <c r="E23" s="871"/>
      <c r="F23" s="933"/>
      <c r="G23" s="1383">
        <f>2*INPUTS!L20</f>
        <v>0</v>
      </c>
      <c r="H23" s="1382">
        <f t="shared" si="33"/>
        <v>35.137309395138168</v>
      </c>
      <c r="I23" s="872">
        <v>1.5</v>
      </c>
      <c r="J23" s="872"/>
      <c r="K23" s="871"/>
      <c r="L23" s="871"/>
      <c r="M23" s="871">
        <v>50</v>
      </c>
      <c r="N23" s="1394">
        <f>0.001*B23</f>
        <v>0.28999999999999998</v>
      </c>
      <c r="O23" s="1394"/>
      <c r="P23" s="871"/>
      <c r="Q23" s="871"/>
      <c r="R23" s="871"/>
      <c r="S23" s="872">
        <v>0.4</v>
      </c>
      <c r="T23" s="1394"/>
      <c r="U23" s="1394"/>
      <c r="V23" s="1448"/>
      <c r="W23" s="1448"/>
      <c r="X23" s="1448"/>
      <c r="Y23" s="1448"/>
      <c r="Z23" s="869">
        <v>2200</v>
      </c>
      <c r="AA23" s="869">
        <v>26</v>
      </c>
      <c r="AB23" s="869">
        <v>0.57999999999999996</v>
      </c>
      <c r="AC23" s="868"/>
      <c r="AD23" s="869">
        <v>2.9000000000000001E-2</v>
      </c>
      <c r="AE23" s="1390"/>
      <c r="AF23" s="1403" t="s">
        <v>1580</v>
      </c>
      <c r="AG23" s="1404">
        <v>500</v>
      </c>
      <c r="AH23" s="1405">
        <v>5</v>
      </c>
      <c r="AI23" s="1405"/>
      <c r="AJ23" s="1406">
        <v>2</v>
      </c>
    </row>
    <row r="24" spans="1:52" s="144" customFormat="1">
      <c r="A24" s="1386" t="s">
        <v>631</v>
      </c>
      <c r="B24" s="871">
        <v>70</v>
      </c>
      <c r="C24" s="871"/>
      <c r="D24" s="871"/>
      <c r="E24" s="871"/>
      <c r="F24" s="933"/>
      <c r="G24" s="1382">
        <f>2*INPUTS!L21</f>
        <v>0</v>
      </c>
      <c r="H24" s="1382">
        <f t="shared" si="33"/>
        <v>12.100227462467942</v>
      </c>
      <c r="I24" s="872"/>
      <c r="J24" s="872"/>
      <c r="K24" s="871"/>
      <c r="L24" s="871"/>
      <c r="M24" s="871">
        <v>50</v>
      </c>
      <c r="N24" s="1394">
        <f t="shared" si="34"/>
        <v>7.0000000000000007E-2</v>
      </c>
      <c r="O24" s="1394"/>
      <c r="P24" s="871"/>
      <c r="Q24" s="871"/>
      <c r="R24" s="871"/>
      <c r="S24" s="872">
        <v>0.4</v>
      </c>
      <c r="T24" s="1394"/>
      <c r="U24" s="1394"/>
      <c r="V24" s="1448"/>
      <c r="W24" s="1448"/>
      <c r="X24" s="1448"/>
      <c r="Y24" s="1448"/>
      <c r="Z24" s="869">
        <v>2200</v>
      </c>
      <c r="AA24" s="869">
        <v>26</v>
      </c>
      <c r="AB24" s="869">
        <v>0.5</v>
      </c>
      <c r="AC24" s="868"/>
      <c r="AD24" s="869">
        <v>2.9000000000000001E-2</v>
      </c>
      <c r="AE24" s="1390"/>
      <c r="AF24" s="1403" t="s">
        <v>1580</v>
      </c>
      <c r="AG24" s="1404">
        <v>200</v>
      </c>
      <c r="AH24" s="1405">
        <v>5</v>
      </c>
      <c r="AI24" s="1405"/>
      <c r="AJ24" s="1406">
        <v>2</v>
      </c>
    </row>
    <row r="25" spans="1:52" s="144" customFormat="1">
      <c r="A25" s="1386" t="s">
        <v>1815</v>
      </c>
      <c r="B25" s="871">
        <v>450</v>
      </c>
      <c r="C25" s="871"/>
      <c r="D25" s="871"/>
      <c r="E25" s="871"/>
      <c r="F25" s="933"/>
      <c r="G25" s="1383">
        <f>2*INPUTS!L22</f>
        <v>0</v>
      </c>
      <c r="H25" s="1382">
        <f t="shared" ref="H25" si="35">0.5*B25^0.75</f>
        <v>48.851667182447308</v>
      </c>
      <c r="I25" s="866">
        <v>2</v>
      </c>
      <c r="J25" s="866">
        <v>1260</v>
      </c>
      <c r="K25" s="1389"/>
      <c r="L25" s="866">
        <v>5.5</v>
      </c>
      <c r="M25" s="866"/>
      <c r="N25" s="1394">
        <f t="shared" ref="N25" si="36">0.001*B25</f>
        <v>0.45</v>
      </c>
      <c r="O25" s="1394"/>
      <c r="P25" s="867">
        <v>9.64</v>
      </c>
      <c r="Q25" s="867"/>
      <c r="R25" s="867">
        <v>0.09</v>
      </c>
      <c r="S25" s="866"/>
      <c r="T25" s="1394"/>
      <c r="U25" s="1394"/>
      <c r="V25" s="868">
        <v>1.2</v>
      </c>
      <c r="W25" s="869">
        <v>3.7</v>
      </c>
      <c r="X25" s="869">
        <v>4.3</v>
      </c>
      <c r="Y25" s="1448">
        <v>970</v>
      </c>
      <c r="Z25" s="869">
        <v>2200</v>
      </c>
      <c r="AA25" s="869">
        <v>26</v>
      </c>
      <c r="AB25" s="869"/>
      <c r="AC25" s="868"/>
      <c r="AD25" s="869">
        <v>2.9000000000000001E-2</v>
      </c>
      <c r="AE25" s="1390"/>
      <c r="AF25" s="1403" t="s">
        <v>1580</v>
      </c>
      <c r="AG25" s="1404">
        <v>1500</v>
      </c>
      <c r="AH25" s="1405">
        <v>20</v>
      </c>
      <c r="AI25" s="1405"/>
      <c r="AJ25" s="1406">
        <v>8</v>
      </c>
    </row>
    <row r="26" spans="1:52" s="144" customFormat="1">
      <c r="A26" s="1386" t="s">
        <v>1766</v>
      </c>
      <c r="B26" s="871">
        <v>270</v>
      </c>
      <c r="C26" s="871"/>
      <c r="D26" s="871"/>
      <c r="E26" s="871"/>
      <c r="F26" s="933"/>
      <c r="G26" s="1383">
        <f>2*INPUTS!L22</f>
        <v>0</v>
      </c>
      <c r="H26" s="1382">
        <f t="shared" si="33"/>
        <v>33.303726202152838</v>
      </c>
      <c r="I26" s="872">
        <v>1.5</v>
      </c>
      <c r="J26" s="872"/>
      <c r="K26" s="871"/>
      <c r="L26" s="871"/>
      <c r="M26" s="871">
        <v>50</v>
      </c>
      <c r="N26" s="1394">
        <f t="shared" si="34"/>
        <v>0.27</v>
      </c>
      <c r="O26" s="1394"/>
      <c r="P26" s="871"/>
      <c r="Q26" s="871"/>
      <c r="R26" s="871"/>
      <c r="S26" s="872">
        <v>0.4</v>
      </c>
      <c r="T26" s="1394"/>
      <c r="U26" s="1394"/>
      <c r="V26" s="1448"/>
      <c r="W26" s="1448"/>
      <c r="X26" s="1448"/>
      <c r="Y26" s="1448"/>
      <c r="Z26" s="869">
        <v>2200</v>
      </c>
      <c r="AA26" s="869">
        <v>26</v>
      </c>
      <c r="AB26" s="869">
        <v>0.57999999999999996</v>
      </c>
      <c r="AC26" s="868"/>
      <c r="AD26" s="869">
        <v>2.9000000000000001E-2</v>
      </c>
      <c r="AE26" s="1390"/>
      <c r="AF26" s="1403" t="s">
        <v>1580</v>
      </c>
      <c r="AG26" s="1404">
        <v>1000</v>
      </c>
      <c r="AH26" s="1405">
        <v>10</v>
      </c>
      <c r="AI26" s="1405"/>
      <c r="AJ26" s="1406">
        <v>2</v>
      </c>
    </row>
    <row r="27" spans="1:52" s="144" customFormat="1">
      <c r="A27" s="1386" t="s">
        <v>1767</v>
      </c>
      <c r="B27" s="871">
        <v>110</v>
      </c>
      <c r="C27" s="871"/>
      <c r="D27" s="871"/>
      <c r="E27" s="871"/>
      <c r="F27" s="933"/>
      <c r="G27" s="1382">
        <f>2*INPUTS!L23</f>
        <v>0</v>
      </c>
      <c r="H27" s="1382">
        <f t="shared" si="33"/>
        <v>16.983004246798973</v>
      </c>
      <c r="I27" s="872"/>
      <c r="J27" s="872"/>
      <c r="K27" s="1389"/>
      <c r="L27" s="871"/>
      <c r="M27" s="871">
        <v>50</v>
      </c>
      <c r="N27" s="1394">
        <f t="shared" si="34"/>
        <v>0.11</v>
      </c>
      <c r="O27" s="1394"/>
      <c r="P27" s="871"/>
      <c r="Q27" s="871"/>
      <c r="R27" s="871"/>
      <c r="S27" s="872">
        <v>0.4</v>
      </c>
      <c r="T27" s="1394"/>
      <c r="U27" s="1394"/>
      <c r="V27" s="1448"/>
      <c r="W27" s="1448"/>
      <c r="X27" s="1448"/>
      <c r="Y27" s="1448"/>
      <c r="Z27" s="869">
        <v>2200</v>
      </c>
      <c r="AA27" s="869">
        <v>26</v>
      </c>
      <c r="AB27" s="869">
        <v>0.57999999999999996</v>
      </c>
      <c r="AC27" s="868"/>
      <c r="AD27" s="869">
        <v>2.9000000000000001E-2</v>
      </c>
      <c r="AE27" s="1390"/>
      <c r="AF27" s="1403" t="s">
        <v>1580</v>
      </c>
      <c r="AG27" s="1404">
        <v>400</v>
      </c>
      <c r="AH27" s="1405">
        <v>10</v>
      </c>
      <c r="AI27" s="1405"/>
      <c r="AJ27" s="1406">
        <v>2</v>
      </c>
    </row>
    <row r="28" spans="1:52" s="144" customFormat="1">
      <c r="A28" s="1386" t="s">
        <v>1770</v>
      </c>
      <c r="B28" s="873">
        <v>30</v>
      </c>
      <c r="C28" s="873"/>
      <c r="D28" s="873">
        <v>60</v>
      </c>
      <c r="E28" s="873"/>
      <c r="F28" s="934"/>
      <c r="G28" s="1384">
        <f>2*INPUTS!L24</f>
        <v>0</v>
      </c>
      <c r="H28" s="1382">
        <f>0.44*B28^0.75</f>
        <v>5.6401884844302899</v>
      </c>
      <c r="I28" s="874"/>
      <c r="J28" s="1446">
        <f>H28*0.25*50+H28*0.35*65+H28*0.55*45</f>
        <v>338.41130906581742</v>
      </c>
      <c r="K28" s="1447">
        <f>H28*2.5*D28</f>
        <v>846.02827266454346</v>
      </c>
      <c r="L28" s="874">
        <v>5.5</v>
      </c>
      <c r="M28" s="875"/>
      <c r="N28" s="1395">
        <f>0.002*B28</f>
        <v>0.06</v>
      </c>
      <c r="O28" s="1395"/>
      <c r="P28" s="1062">
        <f>N28*0.3*50+N28*0.5*65+N28*0.7*45</f>
        <v>4.7399999999999993</v>
      </c>
      <c r="Q28" s="1061">
        <f>N28*2*D28</f>
        <v>7.1999999999999993</v>
      </c>
      <c r="R28" s="867">
        <v>0.09</v>
      </c>
      <c r="S28" s="875"/>
      <c r="T28" s="1395"/>
      <c r="U28" s="1395"/>
      <c r="V28" s="1448">
        <v>0.7</v>
      </c>
      <c r="W28" s="869">
        <v>3.2</v>
      </c>
      <c r="X28" s="869">
        <v>5.8</v>
      </c>
      <c r="Y28" s="1450">
        <v>970</v>
      </c>
      <c r="Z28" s="869">
        <v>2200</v>
      </c>
      <c r="AA28" s="869">
        <v>25</v>
      </c>
      <c r="AB28" s="869"/>
      <c r="AC28" s="868"/>
      <c r="AD28" s="869">
        <v>2.7E-2</v>
      </c>
      <c r="AE28" s="1391"/>
      <c r="AF28" s="1403" t="s">
        <v>1581</v>
      </c>
      <c r="AG28" s="1404"/>
      <c r="AH28" s="1405"/>
      <c r="AI28" s="1405"/>
      <c r="AJ28" s="1406"/>
    </row>
    <row r="29" spans="1:52" s="144" customFormat="1" ht="13.5" customHeight="1">
      <c r="A29" s="1386" t="s">
        <v>1772</v>
      </c>
      <c r="B29" s="873">
        <v>30</v>
      </c>
      <c r="C29" s="873"/>
      <c r="D29" s="873"/>
      <c r="E29" s="873"/>
      <c r="F29" s="934"/>
      <c r="G29" s="1384"/>
      <c r="H29" s="1382">
        <f t="shared" ref="H29:H31" si="37">0.44*B29^0.75</f>
        <v>5.6401884844302899</v>
      </c>
      <c r="I29" s="874"/>
      <c r="J29" s="874"/>
      <c r="K29" s="1389"/>
      <c r="L29" s="875"/>
      <c r="M29" s="873">
        <v>46</v>
      </c>
      <c r="N29" s="1395">
        <f t="shared" ref="N29:N31" si="38">0.002*B29</f>
        <v>0.06</v>
      </c>
      <c r="O29" s="1395"/>
      <c r="P29" s="875"/>
      <c r="Q29" s="875"/>
      <c r="R29" s="875"/>
      <c r="S29" s="934">
        <v>0.45</v>
      </c>
      <c r="T29" s="1395"/>
      <c r="U29" s="1395"/>
      <c r="V29" s="1448"/>
      <c r="W29" s="869"/>
      <c r="X29" s="869"/>
      <c r="Y29" s="1450"/>
      <c r="Z29" s="869"/>
      <c r="AA29" s="869"/>
      <c r="AB29" s="869"/>
      <c r="AC29" s="868"/>
      <c r="AD29" s="869"/>
      <c r="AE29" s="1391"/>
      <c r="AF29" s="1403"/>
      <c r="AG29" s="1404"/>
      <c r="AH29" s="1405"/>
      <c r="AI29" s="1405"/>
      <c r="AJ29" s="1406"/>
    </row>
    <row r="30" spans="1:52" s="144" customFormat="1" ht="17.100000000000001" customHeight="1">
      <c r="A30" s="1386" t="s">
        <v>1771</v>
      </c>
      <c r="B30" s="873">
        <v>20</v>
      </c>
      <c r="C30" s="873"/>
      <c r="D30" s="873"/>
      <c r="E30" s="873"/>
      <c r="F30" s="934"/>
      <c r="G30" s="1384"/>
      <c r="H30" s="1382">
        <f t="shared" si="37"/>
        <v>4.161263079613974</v>
      </c>
      <c r="I30" s="874"/>
      <c r="J30" s="874"/>
      <c r="K30" s="871"/>
      <c r="L30" s="875"/>
      <c r="M30" s="873">
        <v>46</v>
      </c>
      <c r="N30" s="1395">
        <f t="shared" si="38"/>
        <v>0.04</v>
      </c>
      <c r="O30" s="1395"/>
      <c r="P30" s="875"/>
      <c r="Q30" s="875"/>
      <c r="R30" s="875"/>
      <c r="S30" s="934">
        <v>0.45</v>
      </c>
      <c r="T30" s="1395"/>
      <c r="U30" s="1395"/>
      <c r="V30" s="1448"/>
      <c r="W30" s="869"/>
      <c r="X30" s="869"/>
      <c r="Y30" s="1450"/>
      <c r="Z30" s="869"/>
      <c r="AA30" s="869"/>
      <c r="AB30" s="869"/>
      <c r="AC30" s="868"/>
      <c r="AD30" s="869"/>
      <c r="AE30" s="1391"/>
      <c r="AF30" s="1403"/>
      <c r="AG30" s="1404"/>
      <c r="AH30" s="1405"/>
      <c r="AI30" s="1405"/>
      <c r="AJ30" s="1406"/>
    </row>
    <row r="31" spans="1:52" s="144" customFormat="1">
      <c r="A31" s="1386" t="s">
        <v>1773</v>
      </c>
      <c r="B31" s="873">
        <v>10</v>
      </c>
      <c r="C31" s="873"/>
      <c r="D31" s="873"/>
      <c r="E31" s="873"/>
      <c r="F31" s="934"/>
      <c r="G31" s="1384">
        <f>2*INPUTS!L25</f>
        <v>0</v>
      </c>
      <c r="H31" s="1382">
        <f t="shared" si="37"/>
        <v>2.4743018308375366</v>
      </c>
      <c r="I31" s="874"/>
      <c r="J31" s="874"/>
      <c r="K31" s="1389"/>
      <c r="L31" s="875"/>
      <c r="M31" s="873">
        <v>46</v>
      </c>
      <c r="N31" s="1395">
        <f t="shared" si="38"/>
        <v>0.02</v>
      </c>
      <c r="O31" s="1395"/>
      <c r="P31" s="875"/>
      <c r="Q31" s="875"/>
      <c r="R31" s="875"/>
      <c r="S31" s="934">
        <v>0.45</v>
      </c>
      <c r="T31" s="1395"/>
      <c r="U31" s="1395"/>
      <c r="V31" s="1448"/>
      <c r="W31" s="869">
        <v>3.2</v>
      </c>
      <c r="X31" s="869">
        <v>5.8</v>
      </c>
      <c r="Y31" s="1448">
        <v>970</v>
      </c>
      <c r="Z31" s="869">
        <v>2200</v>
      </c>
      <c r="AA31" s="869">
        <v>25</v>
      </c>
      <c r="AB31" s="869"/>
      <c r="AC31" s="868"/>
      <c r="AD31" s="869">
        <v>2.9000000000000001E-2</v>
      </c>
      <c r="AE31" s="1391"/>
      <c r="AF31" s="1403" t="s">
        <v>1590</v>
      </c>
      <c r="AG31" s="1404"/>
      <c r="AH31" s="1405"/>
      <c r="AI31" s="1405"/>
      <c r="AJ31" s="1406"/>
    </row>
    <row r="32" spans="1:52" s="144" customFormat="1" ht="15" customHeight="1">
      <c r="A32" s="1387" t="s">
        <v>1669</v>
      </c>
      <c r="B32" s="873">
        <v>200</v>
      </c>
      <c r="C32" s="873">
        <v>10</v>
      </c>
      <c r="D32" s="873">
        <v>21</v>
      </c>
      <c r="E32" s="873">
        <v>60</v>
      </c>
      <c r="F32" s="934">
        <v>0.2</v>
      </c>
      <c r="G32" s="1384">
        <v>0</v>
      </c>
      <c r="H32" s="1382">
        <f>0.44*B32^0.75</f>
        <v>23.400501946557938</v>
      </c>
      <c r="I32" s="874"/>
      <c r="J32" s="874">
        <v>170</v>
      </c>
      <c r="K32" s="1447">
        <f>(E32/100*D32*(6.83*C32*F32-0.125*C32))*4.2</f>
        <v>656.73719999999992</v>
      </c>
      <c r="L32" s="908"/>
      <c r="M32" s="875"/>
      <c r="N32" s="1396">
        <f>2*0.00028*B32^0.75</f>
        <v>2.9782457022891916E-2</v>
      </c>
      <c r="O32" s="1396"/>
      <c r="P32" s="1063">
        <f>1.1*0.12*2.3*0.11*C32</f>
        <v>0.33395999999999992</v>
      </c>
      <c r="Q32" s="1063">
        <f>(1.1*0.022*0.2*C32-0.0064)*49*0.6</f>
        <v>1.2348000000000001</v>
      </c>
      <c r="R32" s="906"/>
      <c r="S32" s="875"/>
      <c r="T32" s="1396"/>
      <c r="U32" s="1396"/>
      <c r="V32" s="1448">
        <v>0.5</v>
      </c>
      <c r="W32" s="869"/>
      <c r="X32" s="869"/>
      <c r="Y32" s="1448"/>
      <c r="Z32" s="869">
        <v>2580</v>
      </c>
      <c r="AA32" s="869">
        <v>21</v>
      </c>
      <c r="AB32" s="869"/>
      <c r="AC32" s="868"/>
      <c r="AD32" s="869">
        <v>0.04</v>
      </c>
      <c r="AE32" s="1392"/>
      <c r="AF32" s="1403" t="s">
        <v>1677</v>
      </c>
      <c r="AG32" s="1404"/>
      <c r="AH32" s="1405"/>
      <c r="AI32" s="1405"/>
      <c r="AJ32" s="1406"/>
    </row>
    <row r="33" spans="1:41" s="144" customFormat="1">
      <c r="A33" s="1387" t="s">
        <v>1668</v>
      </c>
      <c r="B33" s="873">
        <v>200</v>
      </c>
      <c r="C33" s="873"/>
      <c r="D33" s="873"/>
      <c r="E33" s="873"/>
      <c r="F33" s="934"/>
      <c r="G33" s="1384">
        <v>0</v>
      </c>
      <c r="H33" s="1384">
        <f t="shared" ref="H33:H34" si="39">0.44*B33^0.75</f>
        <v>23.400501946557938</v>
      </c>
      <c r="I33" s="874"/>
      <c r="J33" s="874"/>
      <c r="K33" s="875"/>
      <c r="L33" s="875"/>
      <c r="M33" s="875"/>
      <c r="N33" s="1396">
        <f>2*0.00028*B33^0.75</f>
        <v>2.9782457022891916E-2</v>
      </c>
      <c r="O33" s="1396"/>
      <c r="P33" s="875"/>
      <c r="Q33" s="875"/>
      <c r="R33" s="875"/>
      <c r="S33" s="875"/>
      <c r="T33" s="1396"/>
      <c r="U33" s="1396"/>
      <c r="V33" s="1448"/>
      <c r="W33" s="869"/>
      <c r="X33" s="869"/>
      <c r="Y33" s="868"/>
      <c r="Z33" s="869">
        <v>2580</v>
      </c>
      <c r="AA33" s="869">
        <v>21</v>
      </c>
      <c r="AB33" s="869"/>
      <c r="AC33" s="868"/>
      <c r="AD33" s="869">
        <v>0.04</v>
      </c>
      <c r="AE33" s="1392"/>
      <c r="AF33" s="1403" t="s">
        <v>1677</v>
      </c>
      <c r="AG33" s="1404"/>
      <c r="AH33" s="1405"/>
      <c r="AI33" s="1405"/>
      <c r="AJ33" s="1406"/>
    </row>
    <row r="34" spans="1:41" s="144" customFormat="1" ht="16.5" thickBot="1">
      <c r="A34" s="1388" t="s">
        <v>1667</v>
      </c>
      <c r="B34" s="654">
        <v>80</v>
      </c>
      <c r="C34" s="654"/>
      <c r="D34" s="654"/>
      <c r="E34" s="654"/>
      <c r="F34" s="888"/>
      <c r="G34" s="1385">
        <v>0</v>
      </c>
      <c r="H34" s="1385">
        <f t="shared" si="39"/>
        <v>11.769829367585023</v>
      </c>
      <c r="I34" s="832"/>
      <c r="J34" s="832"/>
      <c r="K34" s="654"/>
      <c r="L34" s="654"/>
      <c r="M34" s="654">
        <v>45</v>
      </c>
      <c r="N34" s="1397">
        <f>2*0.00028*B34^0.75</f>
        <v>1.4979782831471848E-2</v>
      </c>
      <c r="O34" s="1397"/>
      <c r="P34" s="888"/>
      <c r="Q34" s="888"/>
      <c r="R34" s="888"/>
      <c r="S34" s="907">
        <v>0.05</v>
      </c>
      <c r="T34" s="1397"/>
      <c r="U34" s="1397"/>
      <c r="V34" s="1449"/>
      <c r="W34" s="820"/>
      <c r="X34" s="820"/>
      <c r="Y34" s="1398"/>
      <c r="Z34" s="820">
        <v>2580</v>
      </c>
      <c r="AA34" s="820">
        <v>21</v>
      </c>
      <c r="AB34" s="820">
        <v>0.6</v>
      </c>
      <c r="AC34" s="1398"/>
      <c r="AD34" s="820">
        <v>0.04</v>
      </c>
      <c r="AE34" s="1393"/>
      <c r="AF34" s="1407" t="s">
        <v>1677</v>
      </c>
      <c r="AG34" s="1408"/>
      <c r="AH34" s="1409"/>
      <c r="AI34" s="1409"/>
      <c r="AJ34" s="1410"/>
    </row>
    <row r="35" spans="1:41" s="144" customFormat="1">
      <c r="A35" s="142"/>
      <c r="B35" s="142"/>
      <c r="C35" s="142"/>
      <c r="D35" s="142"/>
      <c r="E35" s="142"/>
      <c r="F35" s="142"/>
      <c r="G35" s="707"/>
      <c r="H35" s="707"/>
      <c r="I35" s="707"/>
      <c r="J35" s="707"/>
      <c r="K35" s="707"/>
      <c r="L35" s="707"/>
      <c r="M35" s="707"/>
      <c r="N35" s="707"/>
      <c r="O35" s="707"/>
      <c r="P35" s="707"/>
      <c r="Q35" s="707"/>
      <c r="R35" s="707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J35" s="227"/>
      <c r="AO35" s="225"/>
    </row>
    <row r="36" spans="1:41" s="144" customFormat="1">
      <c r="A36" s="142"/>
      <c r="B36" s="142" t="s">
        <v>1794</v>
      </c>
      <c r="C36" s="649" t="s">
        <v>1796</v>
      </c>
      <c r="D36" s="142"/>
      <c r="E36" s="142"/>
      <c r="F36" s="142"/>
      <c r="G36" s="707"/>
      <c r="H36" s="707"/>
      <c r="I36" s="707"/>
      <c r="J36" s="707"/>
      <c r="K36" s="707"/>
      <c r="L36" s="707"/>
      <c r="M36" s="707"/>
      <c r="N36" s="707"/>
      <c r="O36" s="707"/>
      <c r="P36" s="707"/>
      <c r="Q36" s="707"/>
      <c r="R36" s="707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J36" s="227"/>
      <c r="AO36" s="225"/>
    </row>
    <row r="37" spans="1:41" s="144" customFormat="1">
      <c r="A37" s="142"/>
      <c r="B37" s="142"/>
      <c r="C37" s="649" t="s">
        <v>1797</v>
      </c>
      <c r="D37" s="142"/>
      <c r="E37" s="142"/>
      <c r="F37" s="142"/>
      <c r="G37" s="707"/>
      <c r="H37" s="707"/>
      <c r="I37" s="707"/>
      <c r="J37" s="707"/>
      <c r="K37" s="707"/>
      <c r="L37" s="707"/>
      <c r="M37" s="707"/>
      <c r="N37" s="707"/>
      <c r="O37" s="707"/>
      <c r="P37" s="707"/>
      <c r="Q37" s="707"/>
      <c r="R37" s="707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J37" s="227"/>
      <c r="AO37" s="225"/>
    </row>
    <row r="38" spans="1:41" s="144" customFormat="1">
      <c r="A38" s="142"/>
      <c r="B38" s="142"/>
      <c r="C38" s="649" t="s">
        <v>1798</v>
      </c>
      <c r="D38" s="142"/>
      <c r="E38" s="142"/>
      <c r="F38" s="142"/>
      <c r="G38" s="707"/>
      <c r="H38" s="707"/>
      <c r="I38" s="707"/>
      <c r="J38" s="707"/>
      <c r="K38" s="707"/>
      <c r="L38" s="707"/>
      <c r="M38" s="707"/>
      <c r="N38" s="707"/>
      <c r="O38" s="707"/>
      <c r="P38" s="707"/>
      <c r="Q38" s="707"/>
      <c r="R38" s="707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J38" s="227"/>
      <c r="AO38" s="225"/>
    </row>
    <row r="39" spans="1:41" s="144" customFormat="1">
      <c r="A39" s="142"/>
      <c r="B39" s="142"/>
      <c r="C39" s="649" t="s">
        <v>1800</v>
      </c>
      <c r="D39" s="142"/>
      <c r="E39" s="142"/>
      <c r="F39" s="142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J39" s="227"/>
      <c r="AO39" s="225"/>
    </row>
    <row r="40" spans="1:41" s="144" customFormat="1">
      <c r="A40" s="142"/>
      <c r="B40" s="142"/>
      <c r="C40" s="649" t="s">
        <v>1801</v>
      </c>
      <c r="D40" s="142"/>
      <c r="E40" s="142"/>
      <c r="F40" s="142"/>
      <c r="G40" s="707"/>
      <c r="H40" s="707"/>
      <c r="I40" s="707"/>
      <c r="J40" s="707"/>
      <c r="K40" s="707"/>
      <c r="L40" s="707"/>
      <c r="M40" s="707"/>
      <c r="N40" s="707"/>
      <c r="O40" s="707"/>
      <c r="P40" s="707"/>
      <c r="Q40" s="707"/>
      <c r="R40" s="707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J40" s="227"/>
      <c r="AO40" s="225"/>
    </row>
    <row r="41" spans="1:41" s="144" customFormat="1">
      <c r="A41" s="142"/>
      <c r="B41" s="142"/>
      <c r="C41" s="649"/>
      <c r="D41" s="142"/>
      <c r="E41" s="142"/>
      <c r="F41" s="142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J41" s="227"/>
      <c r="AO41" s="225"/>
    </row>
    <row r="42" spans="1:41" s="144" customFormat="1">
      <c r="A42" s="142"/>
      <c r="B42" s="142" t="s">
        <v>1802</v>
      </c>
      <c r="C42" s="649" t="s">
        <v>1803</v>
      </c>
      <c r="D42" s="142"/>
      <c r="E42" s="142"/>
      <c r="F42" s="142"/>
      <c r="G42" s="707"/>
      <c r="H42" s="707"/>
      <c r="I42" s="707"/>
      <c r="J42" s="707"/>
      <c r="K42" s="707"/>
      <c r="L42" s="707"/>
      <c r="M42" s="707"/>
      <c r="N42" s="707"/>
      <c r="O42" s="707"/>
      <c r="P42" s="707"/>
      <c r="Q42" s="707"/>
      <c r="R42" s="707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J42" s="227"/>
      <c r="AO42" s="225"/>
    </row>
    <row r="43" spans="1:41" s="144" customFormat="1">
      <c r="A43" s="142"/>
      <c r="B43" s="142"/>
      <c r="C43" s="649" t="s">
        <v>1804</v>
      </c>
      <c r="D43" s="142"/>
      <c r="E43" s="142"/>
      <c r="F43" s="142"/>
      <c r="G43" s="707"/>
      <c r="H43" s="707"/>
      <c r="I43" s="707"/>
      <c r="J43" s="707"/>
      <c r="K43" s="707"/>
      <c r="L43" s="707"/>
      <c r="M43" s="707"/>
      <c r="N43" s="707"/>
      <c r="O43" s="707"/>
      <c r="P43" s="707"/>
      <c r="Q43" s="707"/>
      <c r="R43" s="707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J43" s="227"/>
      <c r="AO43" s="225"/>
    </row>
    <row r="44" spans="1:41" s="144" customFormat="1">
      <c r="A44" s="142"/>
      <c r="B44" s="142"/>
      <c r="C44" s="649" t="s">
        <v>1805</v>
      </c>
      <c r="D44" s="142"/>
      <c r="E44" s="142"/>
      <c r="F44" s="142"/>
      <c r="G44" s="707"/>
      <c r="H44" s="707"/>
      <c r="I44" s="707"/>
      <c r="J44" s="707"/>
      <c r="K44" s="707"/>
      <c r="L44" s="707"/>
      <c r="M44" s="707"/>
      <c r="N44" s="707"/>
      <c r="O44" s="707"/>
      <c r="P44" s="707"/>
      <c r="Q44" s="707"/>
      <c r="R44" s="707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J44" s="227"/>
      <c r="AO44" s="225"/>
    </row>
    <row r="45" spans="1:41" s="144" customFormat="1">
      <c r="A45" s="142"/>
      <c r="B45" s="142"/>
      <c r="C45" s="649" t="s">
        <v>1806</v>
      </c>
      <c r="D45" s="142"/>
      <c r="E45" s="142"/>
      <c r="F45" s="142"/>
      <c r="G45" s="707"/>
      <c r="H45" s="707"/>
      <c r="I45" s="707"/>
      <c r="J45" s="707"/>
      <c r="K45" s="707"/>
      <c r="L45" s="707"/>
      <c r="M45" s="707"/>
      <c r="N45" s="707"/>
      <c r="O45" s="707"/>
      <c r="P45" s="707"/>
      <c r="Q45" s="707"/>
      <c r="R45" s="707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J45" s="227"/>
      <c r="AO45" s="225"/>
    </row>
    <row r="46" spans="1:41" s="144" customFormat="1">
      <c r="A46" s="142"/>
      <c r="B46" s="142"/>
      <c r="C46" s="649"/>
      <c r="D46" s="142"/>
      <c r="E46" s="142"/>
      <c r="F46" s="142"/>
      <c r="G46" s="707"/>
      <c r="H46" s="707"/>
      <c r="I46" s="707"/>
      <c r="J46" s="707"/>
      <c r="K46" s="707"/>
      <c r="L46" s="707"/>
      <c r="M46" s="707"/>
      <c r="N46" s="707"/>
      <c r="O46" s="707"/>
      <c r="P46" s="707"/>
      <c r="Q46" s="707"/>
      <c r="R46" s="707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J46" s="227"/>
      <c r="AO46" s="225"/>
    </row>
    <row r="47" spans="1:41" s="144" customFormat="1">
      <c r="A47" s="142"/>
      <c r="B47" s="142" t="s">
        <v>1795</v>
      </c>
      <c r="C47" s="649" t="s">
        <v>1796</v>
      </c>
      <c r="D47" s="142"/>
      <c r="E47" s="142"/>
      <c r="F47" s="142"/>
      <c r="G47" s="707"/>
      <c r="H47" s="707"/>
      <c r="I47" s="707"/>
      <c r="J47" s="707"/>
      <c r="K47" s="707"/>
      <c r="L47" s="707"/>
      <c r="M47" s="707"/>
      <c r="N47" s="707"/>
      <c r="O47" s="707"/>
      <c r="P47" s="707"/>
      <c r="Q47" s="707"/>
      <c r="R47" s="707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J47" s="227"/>
      <c r="AO47" s="225"/>
    </row>
    <row r="48" spans="1:41" s="144" customFormat="1">
      <c r="A48" s="649"/>
      <c r="B48" s="649"/>
      <c r="C48" s="649" t="s">
        <v>1797</v>
      </c>
      <c r="D48" s="142"/>
      <c r="E48" s="142"/>
      <c r="F48" s="142"/>
      <c r="G48" s="707"/>
      <c r="H48" s="707"/>
      <c r="I48" s="707"/>
      <c r="J48" s="707"/>
      <c r="K48" s="707"/>
      <c r="L48" s="707"/>
      <c r="M48" s="705"/>
      <c r="N48" s="705"/>
      <c r="O48" s="705"/>
      <c r="P48" s="705"/>
      <c r="Q48" s="649"/>
      <c r="R48" s="649"/>
      <c r="S48" s="649"/>
      <c r="T48" s="649"/>
      <c r="U48" s="649"/>
      <c r="V48" s="11" t="s">
        <v>901</v>
      </c>
      <c r="W48" s="142"/>
      <c r="X48" s="142"/>
      <c r="Y48" s="142"/>
      <c r="Z48" s="142"/>
      <c r="AA48" s="142"/>
      <c r="AB48" s="142"/>
      <c r="AC48" s="142"/>
      <c r="AH48" s="227"/>
      <c r="AM48" s="225"/>
    </row>
    <row r="49" spans="1:39" s="144" customFormat="1">
      <c r="A49" s="649"/>
      <c r="B49" s="649"/>
      <c r="C49" s="649" t="s">
        <v>1798</v>
      </c>
      <c r="D49" s="142"/>
      <c r="E49" s="142"/>
      <c r="F49" s="142"/>
      <c r="G49" s="707"/>
      <c r="H49" s="707"/>
      <c r="I49" s="707"/>
      <c r="J49" s="707"/>
      <c r="K49" s="707"/>
      <c r="L49" s="707"/>
      <c r="M49" s="705"/>
      <c r="N49" s="705"/>
      <c r="O49" s="705"/>
      <c r="P49" s="705"/>
      <c r="Q49" s="649"/>
      <c r="R49" s="649"/>
      <c r="S49" s="649"/>
      <c r="T49" s="649"/>
      <c r="U49" s="649"/>
      <c r="V49" s="11" t="s">
        <v>900</v>
      </c>
      <c r="W49" s="142"/>
      <c r="X49" s="142"/>
      <c r="Y49" s="142"/>
      <c r="Z49" s="142"/>
      <c r="AA49" s="142"/>
      <c r="AB49" s="142"/>
      <c r="AC49" s="142"/>
      <c r="AH49" s="227"/>
      <c r="AM49" s="225"/>
    </row>
    <row r="50" spans="1:39" s="144" customFormat="1">
      <c r="A50" s="649"/>
      <c r="B50" s="649"/>
      <c r="C50" s="649" t="s">
        <v>1800</v>
      </c>
      <c r="D50" s="142"/>
      <c r="E50" s="142"/>
      <c r="F50" s="142"/>
      <c r="G50" s="707"/>
      <c r="H50" s="707"/>
      <c r="I50" s="707"/>
      <c r="J50" s="707"/>
      <c r="K50" s="707"/>
      <c r="L50" s="707"/>
      <c r="M50" s="705"/>
      <c r="N50" s="705"/>
      <c r="O50" s="705"/>
      <c r="P50" s="705"/>
      <c r="Q50" s="649"/>
      <c r="R50" s="649"/>
      <c r="S50" s="649"/>
      <c r="T50" s="649"/>
      <c r="U50" s="649"/>
      <c r="V50" s="11"/>
      <c r="W50" s="142"/>
      <c r="X50" s="142"/>
      <c r="Y50" s="142"/>
      <c r="Z50" s="142"/>
      <c r="AA50" s="142"/>
      <c r="AB50" s="142"/>
      <c r="AC50" s="142"/>
      <c r="AH50" s="227"/>
      <c r="AM50" s="225"/>
    </row>
    <row r="51" spans="1:39" s="144" customFormat="1">
      <c r="A51" s="649"/>
      <c r="B51" s="649"/>
      <c r="C51" s="649" t="s">
        <v>1801</v>
      </c>
      <c r="D51" s="142"/>
      <c r="E51" s="142"/>
      <c r="F51" s="142"/>
      <c r="G51" s="707"/>
      <c r="H51" s="707"/>
      <c r="I51" s="707"/>
      <c r="J51" s="707"/>
      <c r="K51" s="707"/>
      <c r="L51" s="707"/>
      <c r="M51" s="705"/>
      <c r="N51" s="705"/>
      <c r="O51" s="705"/>
      <c r="P51" s="705"/>
      <c r="Q51" s="649"/>
      <c r="R51" s="649"/>
      <c r="S51" s="649"/>
      <c r="T51" s="649"/>
      <c r="U51" s="649"/>
      <c r="V51" s="11"/>
      <c r="W51" s="142"/>
      <c r="X51" s="142"/>
      <c r="Y51" s="142"/>
      <c r="Z51" s="142"/>
      <c r="AA51" s="142"/>
      <c r="AB51" s="142"/>
      <c r="AC51" s="142"/>
      <c r="AH51" s="227"/>
      <c r="AM51" s="225"/>
    </row>
    <row r="52" spans="1:39" s="144" customFormat="1">
      <c r="A52" s="649"/>
      <c r="B52" s="649"/>
      <c r="C52" s="649"/>
      <c r="D52" s="142"/>
      <c r="E52" s="142"/>
      <c r="F52" s="142"/>
      <c r="G52" s="707"/>
      <c r="H52" s="707"/>
      <c r="I52" s="707"/>
      <c r="J52" s="707"/>
      <c r="K52" s="707"/>
      <c r="L52" s="707"/>
      <c r="M52" s="705"/>
      <c r="N52" s="705"/>
      <c r="O52" s="705"/>
      <c r="P52" s="705"/>
      <c r="Q52" s="649"/>
      <c r="R52" s="649"/>
      <c r="S52" s="649"/>
      <c r="T52" s="649"/>
      <c r="U52" s="649"/>
      <c r="V52" s="11"/>
      <c r="W52" s="142"/>
      <c r="X52" s="142"/>
      <c r="Y52" s="142"/>
      <c r="Z52" s="142"/>
      <c r="AA52" s="142"/>
      <c r="AB52" s="142"/>
      <c r="AC52" s="142"/>
      <c r="AH52" s="227"/>
      <c r="AM52" s="225"/>
    </row>
    <row r="53" spans="1:39" s="144" customFormat="1">
      <c r="A53" s="649"/>
      <c r="B53" s="142" t="s">
        <v>1807</v>
      </c>
      <c r="C53" s="649" t="s">
        <v>1803</v>
      </c>
      <c r="D53" s="142"/>
      <c r="E53" s="142"/>
      <c r="F53" s="142"/>
      <c r="G53" s="707"/>
      <c r="H53" s="707"/>
      <c r="I53" s="707"/>
      <c r="J53" s="707"/>
      <c r="K53" s="707"/>
      <c r="L53" s="707"/>
      <c r="M53" s="705"/>
      <c r="N53" s="705"/>
      <c r="O53" s="705"/>
      <c r="P53" s="705"/>
      <c r="Q53" s="649"/>
      <c r="R53" s="649"/>
      <c r="S53" s="649"/>
      <c r="T53" s="649"/>
      <c r="U53" s="649"/>
      <c r="V53" s="11"/>
      <c r="W53" s="142"/>
      <c r="X53" s="142"/>
      <c r="Y53" s="142"/>
      <c r="Z53" s="142"/>
      <c r="AA53" s="142"/>
      <c r="AB53" s="142"/>
      <c r="AC53" s="142"/>
      <c r="AH53" s="227"/>
      <c r="AM53" s="225"/>
    </row>
    <row r="54" spans="1:39" s="144" customFormat="1">
      <c r="A54" s="649"/>
      <c r="B54" s="142"/>
      <c r="C54" s="649" t="s">
        <v>1804</v>
      </c>
      <c r="D54" s="142"/>
      <c r="E54" s="142"/>
      <c r="F54" s="142"/>
      <c r="G54" s="707"/>
      <c r="H54" s="707"/>
      <c r="I54" s="707"/>
      <c r="J54" s="707"/>
      <c r="K54" s="707"/>
      <c r="L54" s="707"/>
      <c r="M54" s="705"/>
      <c r="N54" s="705"/>
      <c r="O54" s="705"/>
      <c r="P54" s="705"/>
      <c r="Q54" s="649"/>
      <c r="R54" s="649"/>
      <c r="S54" s="649"/>
      <c r="T54" s="649"/>
      <c r="U54" s="649"/>
      <c r="V54" s="11"/>
      <c r="W54" s="142"/>
      <c r="X54" s="142"/>
      <c r="Y54" s="142"/>
      <c r="Z54" s="142"/>
      <c r="AA54" s="142"/>
      <c r="AB54" s="142"/>
      <c r="AC54" s="142"/>
      <c r="AH54" s="227"/>
      <c r="AM54" s="225"/>
    </row>
    <row r="55" spans="1:39" s="144" customFormat="1">
      <c r="A55" s="649"/>
      <c r="B55" s="142"/>
      <c r="C55" s="649" t="s">
        <v>1805</v>
      </c>
      <c r="D55" s="142"/>
      <c r="E55" s="142"/>
      <c r="F55" s="142"/>
      <c r="G55" s="707"/>
      <c r="H55" s="707"/>
      <c r="I55" s="707"/>
      <c r="J55" s="707"/>
      <c r="K55" s="707"/>
      <c r="L55" s="707"/>
      <c r="M55" s="705"/>
      <c r="N55" s="705"/>
      <c r="O55" s="705"/>
      <c r="P55" s="705"/>
      <c r="Q55" s="649"/>
      <c r="R55" s="649"/>
      <c r="S55" s="649"/>
      <c r="T55" s="649"/>
      <c r="U55" s="649"/>
      <c r="V55" s="11"/>
      <c r="W55" s="142"/>
      <c r="X55" s="142"/>
      <c r="Y55" s="142"/>
      <c r="Z55" s="142"/>
      <c r="AA55" s="142"/>
      <c r="AB55" s="142"/>
      <c r="AC55" s="142"/>
      <c r="AH55" s="227"/>
      <c r="AM55" s="225"/>
    </row>
    <row r="56" spans="1:39" s="144" customFormat="1">
      <c r="A56" s="649"/>
      <c r="B56" s="142"/>
      <c r="C56" s="649" t="s">
        <v>1806</v>
      </c>
      <c r="D56" s="142"/>
      <c r="E56" s="142"/>
      <c r="F56" s="142"/>
      <c r="G56" s="707"/>
      <c r="H56" s="707"/>
      <c r="I56" s="707"/>
      <c r="J56" s="707"/>
      <c r="K56" s="707"/>
      <c r="L56" s="707"/>
      <c r="M56" s="705"/>
      <c r="N56" s="705"/>
      <c r="O56" s="705"/>
      <c r="P56" s="705"/>
      <c r="Q56" s="649"/>
      <c r="R56" s="649"/>
      <c r="S56" s="649"/>
      <c r="T56" s="649"/>
      <c r="U56" s="649"/>
      <c r="V56" s="11"/>
      <c r="W56" s="142"/>
      <c r="X56" s="142"/>
      <c r="Y56" s="142"/>
      <c r="Z56" s="142"/>
      <c r="AA56" s="142"/>
      <c r="AB56" s="142"/>
      <c r="AC56" s="142"/>
      <c r="AH56" s="227"/>
      <c r="AM56" s="225"/>
    </row>
    <row r="57" spans="1:39" s="144" customFormat="1">
      <c r="A57" s="649"/>
      <c r="B57" s="649"/>
      <c r="C57" s="649"/>
      <c r="D57" s="142"/>
      <c r="E57" s="142"/>
      <c r="F57" s="142"/>
      <c r="G57" s="707"/>
      <c r="H57" s="707"/>
      <c r="I57" s="707"/>
      <c r="J57" s="707"/>
      <c r="K57" s="707"/>
      <c r="L57" s="707"/>
      <c r="M57" s="705"/>
      <c r="N57" s="705"/>
      <c r="O57" s="705"/>
      <c r="P57" s="705"/>
      <c r="Q57" s="649"/>
      <c r="R57" s="649"/>
      <c r="S57" s="649"/>
      <c r="T57" s="649"/>
      <c r="U57" s="649"/>
      <c r="V57" s="11"/>
      <c r="W57" s="142"/>
      <c r="X57" s="142"/>
      <c r="Y57" s="142"/>
      <c r="Z57" s="142"/>
      <c r="AA57" s="142"/>
      <c r="AB57" s="142"/>
      <c r="AC57" s="142"/>
      <c r="AH57" s="227"/>
      <c r="AM57" s="225"/>
    </row>
    <row r="58" spans="1:39" s="144" customFormat="1">
      <c r="A58" s="649"/>
      <c r="B58" s="649"/>
      <c r="C58" s="649"/>
      <c r="D58" s="142"/>
      <c r="E58" s="142"/>
      <c r="F58" s="142"/>
      <c r="G58" s="707"/>
      <c r="H58" s="707"/>
      <c r="I58" s="707"/>
      <c r="J58" s="707"/>
      <c r="K58" s="707"/>
      <c r="L58" s="707"/>
      <c r="M58" s="705"/>
      <c r="N58" s="705"/>
      <c r="O58" s="705"/>
      <c r="P58" s="705"/>
      <c r="Q58" s="649"/>
      <c r="R58" s="649"/>
      <c r="S58" s="649"/>
      <c r="T58" s="649"/>
      <c r="U58" s="649"/>
      <c r="V58" s="11"/>
      <c r="W58" s="142"/>
      <c r="X58" s="142"/>
      <c r="Y58" s="142"/>
      <c r="Z58" s="142"/>
      <c r="AA58" s="142"/>
      <c r="AB58" s="142"/>
      <c r="AC58" s="142"/>
      <c r="AH58" s="227"/>
      <c r="AM58" s="225"/>
    </row>
    <row r="59" spans="1:39" s="144" customFormat="1">
      <c r="A59" s="649"/>
      <c r="B59" s="649" t="s">
        <v>1660</v>
      </c>
      <c r="C59" s="649" t="s">
        <v>1728</v>
      </c>
      <c r="D59" s="649"/>
      <c r="E59" s="649"/>
      <c r="F59" s="649"/>
      <c r="G59" s="705"/>
      <c r="H59" s="705"/>
      <c r="I59" s="705"/>
      <c r="J59" s="705"/>
      <c r="K59" s="705"/>
      <c r="L59" s="705"/>
      <c r="M59" s="705"/>
      <c r="N59" s="705"/>
      <c r="O59" s="705"/>
      <c r="P59" s="705"/>
      <c r="Q59" s="649"/>
      <c r="R59" s="649"/>
      <c r="S59" s="649"/>
      <c r="T59" s="649"/>
      <c r="U59" s="649"/>
      <c r="V59" s="11" t="s">
        <v>904</v>
      </c>
      <c r="W59" s="142"/>
      <c r="X59" s="142"/>
      <c r="Y59" s="142"/>
      <c r="Z59" s="142"/>
      <c r="AA59" s="142"/>
      <c r="AB59" s="142"/>
      <c r="AC59" s="142"/>
      <c r="AH59" s="227"/>
      <c r="AM59" s="225"/>
    </row>
    <row r="60" spans="1:39" s="144" customFormat="1">
      <c r="A60"/>
      <c r="B60"/>
      <c r="C60" t="s">
        <v>1730</v>
      </c>
      <c r="D60" s="898"/>
      <c r="E60" s="649"/>
      <c r="F60" s="649"/>
      <c r="G60" s="649" t="s">
        <v>1799</v>
      </c>
      <c r="H60" s="708"/>
      <c r="I60" s="708"/>
      <c r="J60" s="708"/>
      <c r="K60" s="708"/>
      <c r="L60" s="708"/>
      <c r="M60" s="708"/>
      <c r="N60" s="708"/>
      <c r="O60" s="708"/>
      <c r="P60" s="708"/>
      <c r="Q60"/>
      <c r="R60"/>
      <c r="S60"/>
      <c r="T60"/>
      <c r="U60"/>
      <c r="V60" s="11"/>
      <c r="AH60" s="227"/>
      <c r="AM60" s="225"/>
    </row>
    <row r="61" spans="1:39" s="144" customFormat="1">
      <c r="A61"/>
      <c r="B61"/>
      <c r="C61" t="s">
        <v>1734</v>
      </c>
      <c r="D61" s="898"/>
      <c r="E61" s="649"/>
      <c r="F61" s="649"/>
      <c r="G61" s="708"/>
      <c r="I61" s="887"/>
      <c r="K61" s="887"/>
      <c r="L61" s="708"/>
      <c r="M61" s="708"/>
      <c r="N61" s="708"/>
      <c r="O61" s="708"/>
      <c r="P61" s="708"/>
      <c r="Q61"/>
      <c r="R61"/>
      <c r="S61"/>
      <c r="T61"/>
      <c r="U61"/>
      <c r="V61" s="11" t="s">
        <v>1026</v>
      </c>
      <c r="AH61" s="227"/>
      <c r="AM61" s="225"/>
    </row>
    <row r="62" spans="1:39" s="144" customFormat="1">
      <c r="A62" s="885"/>
      <c r="B62" s="885"/>
      <c r="C62" s="649" t="s">
        <v>1729</v>
      </c>
      <c r="D62" s="649"/>
      <c r="E62" s="649"/>
      <c r="F62" s="649"/>
      <c r="G62" s="708"/>
      <c r="H62" s="887"/>
      <c r="J62" s="887"/>
      <c r="K62" s="708"/>
      <c r="L62" s="708"/>
      <c r="M62" s="708"/>
      <c r="N62" s="708"/>
      <c r="O62" s="708"/>
      <c r="P62" s="708"/>
      <c r="Q62" s="885"/>
      <c r="R62" s="885"/>
      <c r="S62" s="885"/>
      <c r="T62" s="885"/>
      <c r="U62" s="885"/>
      <c r="V62" s="11"/>
      <c r="AH62" s="227"/>
      <c r="AM62" s="225"/>
    </row>
    <row r="63" spans="1:39" s="144" customFormat="1">
      <c r="A63"/>
      <c r="B63"/>
      <c r="C63" s="885" t="s">
        <v>1659</v>
      </c>
      <c r="D63" s="898"/>
      <c r="E63" s="649"/>
      <c r="F63" s="649"/>
      <c r="G63" s="708"/>
      <c r="H63" s="708"/>
      <c r="I63" s="708"/>
      <c r="J63" s="708"/>
      <c r="K63" s="708"/>
      <c r="L63" s="708"/>
      <c r="M63" s="708"/>
      <c r="N63" s="708"/>
      <c r="O63" s="708"/>
      <c r="P63" s="708"/>
      <c r="Q63"/>
      <c r="R63"/>
      <c r="S63"/>
      <c r="T63"/>
      <c r="U63"/>
      <c r="V63" s="402" t="s">
        <v>903</v>
      </c>
      <c r="Z63" s="259"/>
      <c r="AH63" s="227"/>
      <c r="AM63" s="225"/>
    </row>
    <row r="64" spans="1:39" s="144" customFormat="1">
      <c r="A64"/>
      <c r="B64"/>
      <c r="C64"/>
      <c r="D64" s="898"/>
      <c r="E64" s="649"/>
      <c r="F64" s="649"/>
      <c r="G64" s="708"/>
      <c r="H64" s="708"/>
      <c r="I64" s="708"/>
      <c r="J64" s="708"/>
      <c r="K64" s="708"/>
      <c r="L64" s="708"/>
      <c r="M64" s="708"/>
      <c r="N64" s="708"/>
      <c r="O64" s="708"/>
      <c r="P64" s="708"/>
      <c r="Q64"/>
      <c r="R64"/>
      <c r="S64"/>
      <c r="T64"/>
      <c r="U64"/>
      <c r="V64" s="11"/>
      <c r="Z64" s="259"/>
      <c r="AH64" s="227"/>
      <c r="AM64" s="225"/>
    </row>
    <row r="65" spans="1:39" s="144" customFormat="1">
      <c r="A65"/>
      <c r="B65"/>
      <c r="C65"/>
      <c r="D65" s="898"/>
      <c r="E65"/>
      <c r="F65"/>
      <c r="G65" s="708"/>
      <c r="H65" s="708"/>
      <c r="I65" s="708"/>
      <c r="J65" s="708"/>
      <c r="K65" s="708"/>
      <c r="L65" s="708"/>
      <c r="M65" s="708"/>
      <c r="N65" s="708"/>
      <c r="O65" s="708"/>
      <c r="P65" s="708"/>
      <c r="Q65"/>
      <c r="R65"/>
      <c r="S65"/>
      <c r="T65"/>
      <c r="U65"/>
      <c r="V65" s="11"/>
      <c r="AH65" s="227"/>
      <c r="AM65" s="225"/>
    </row>
    <row r="66" spans="1:39" s="144" customFormat="1">
      <c r="A66"/>
      <c r="B66" t="s">
        <v>1726</v>
      </c>
      <c r="C66" t="s">
        <v>1671</v>
      </c>
      <c r="D66" s="898"/>
      <c r="E66"/>
      <c r="F66"/>
      <c r="G66" s="708"/>
      <c r="H66" s="708"/>
      <c r="I66" s="708"/>
      <c r="J66" s="887" t="s">
        <v>1727</v>
      </c>
      <c r="K66" s="887"/>
      <c r="L66" s="708"/>
      <c r="M66" s="708"/>
      <c r="N66" s="708"/>
      <c r="O66" s="708"/>
      <c r="P66" s="708"/>
      <c r="Q66"/>
      <c r="R66"/>
      <c r="S66"/>
      <c r="T66"/>
      <c r="U66"/>
      <c r="V66" s="11"/>
      <c r="AH66" s="227"/>
      <c r="AM66" s="225"/>
    </row>
    <row r="67" spans="1:39" s="144" customFormat="1">
      <c r="A67"/>
      <c r="B67" s="72"/>
      <c r="C67" t="s">
        <v>1661</v>
      </c>
      <c r="D67" s="898"/>
      <c r="E67"/>
      <c r="F67"/>
      <c r="G67" s="708"/>
      <c r="H67" s="708"/>
      <c r="J67" s="708"/>
      <c r="L67" s="887" t="s">
        <v>1790</v>
      </c>
      <c r="M67" s="708"/>
      <c r="N67" s="708"/>
      <c r="O67" s="708"/>
      <c r="P67" s="708"/>
      <c r="Q67"/>
      <c r="R67"/>
      <c r="S67"/>
      <c r="T67"/>
      <c r="U67"/>
      <c r="V67" s="11"/>
      <c r="AH67" s="227"/>
      <c r="AM67" s="225"/>
    </row>
    <row r="68" spans="1:39" s="144" customFormat="1">
      <c r="A68"/>
      <c r="B68"/>
      <c r="C68" t="s">
        <v>1663</v>
      </c>
      <c r="D68" s="898"/>
      <c r="E68"/>
      <c r="F68"/>
      <c r="G68" s="708"/>
      <c r="H68" s="708"/>
      <c r="J68" s="708"/>
      <c r="L68" s="887" t="s">
        <v>1791</v>
      </c>
      <c r="M68" s="708"/>
      <c r="N68" s="708"/>
      <c r="O68" s="708"/>
      <c r="P68" s="708"/>
      <c r="Q68"/>
      <c r="R68"/>
      <c r="S68"/>
      <c r="T68"/>
      <c r="U68"/>
      <c r="V68" s="11"/>
      <c r="AH68" s="227"/>
      <c r="AM68" s="225"/>
    </row>
    <row r="69" spans="1:39" s="144" customFormat="1">
      <c r="A69"/>
      <c r="B69"/>
      <c r="C69" t="s">
        <v>1662</v>
      </c>
      <c r="D69" s="898"/>
      <c r="E69"/>
      <c r="F69"/>
      <c r="G69" s="708"/>
      <c r="H69" s="708"/>
      <c r="J69" s="708"/>
      <c r="L69" s="887" t="s">
        <v>1792</v>
      </c>
      <c r="M69" s="708"/>
      <c r="N69" s="708"/>
      <c r="O69" s="708"/>
      <c r="P69" s="708"/>
      <c r="Q69"/>
      <c r="R69"/>
      <c r="S69"/>
      <c r="T69"/>
      <c r="U69"/>
      <c r="V69" s="11"/>
      <c r="AH69" s="227"/>
      <c r="AM69" s="225"/>
    </row>
    <row r="70" spans="1:39" s="144" customFormat="1">
      <c r="A70"/>
      <c r="B70"/>
      <c r="AH70" s="227"/>
      <c r="AM70" s="225"/>
    </row>
    <row r="71" spans="1:39" s="144" customFormat="1">
      <c r="A71"/>
      <c r="B71" t="s">
        <v>1774</v>
      </c>
      <c r="C71" s="649" t="s">
        <v>1776</v>
      </c>
      <c r="D71" s="898"/>
      <c r="E71"/>
      <c r="F71"/>
      <c r="G71" s="708"/>
      <c r="H71" s="708"/>
      <c r="I71" s="708"/>
      <c r="J71" s="708"/>
      <c r="K71" s="708"/>
      <c r="L71" s="708"/>
      <c r="M71" s="708"/>
      <c r="N71" s="708"/>
      <c r="O71" s="708"/>
      <c r="P71" s="708"/>
      <c r="Q71"/>
      <c r="R71"/>
      <c r="S71"/>
      <c r="T71"/>
      <c r="U71"/>
      <c r="V71" s="11"/>
    </row>
    <row r="72" spans="1:39" s="144" customFormat="1">
      <c r="A72"/>
      <c r="B72"/>
      <c r="C72" t="s">
        <v>1780</v>
      </c>
      <c r="D72" s="898"/>
      <c r="E72"/>
      <c r="F72"/>
      <c r="G72" s="708"/>
      <c r="H72" s="708"/>
      <c r="I72" s="708"/>
      <c r="J72" s="708"/>
      <c r="K72" s="708"/>
      <c r="L72" s="708"/>
      <c r="M72" s="708"/>
      <c r="N72" s="708"/>
      <c r="O72" s="708"/>
      <c r="P72" s="708"/>
      <c r="Q72"/>
      <c r="R72"/>
      <c r="S72"/>
      <c r="T72"/>
      <c r="U72"/>
    </row>
    <row r="73" spans="1:39">
      <c r="C73" t="s">
        <v>1779</v>
      </c>
    </row>
    <row r="74" spans="1:39">
      <c r="C74" t="s">
        <v>1775</v>
      </c>
    </row>
    <row r="75" spans="1:39">
      <c r="C75" t="s">
        <v>1777</v>
      </c>
    </row>
    <row r="77" spans="1:39">
      <c r="B77" t="s">
        <v>1781</v>
      </c>
      <c r="C77" t="s">
        <v>1783</v>
      </c>
    </row>
    <row r="78" spans="1:39">
      <c r="C78" s="962" t="s">
        <v>1782</v>
      </c>
    </row>
    <row r="79" spans="1:39">
      <c r="C79" s="962" t="s">
        <v>1784</v>
      </c>
      <c r="D79" s="962"/>
      <c r="E79" s="962"/>
      <c r="F79" s="962"/>
    </row>
    <row r="80" spans="1:39">
      <c r="C80" t="s">
        <v>1785</v>
      </c>
    </row>
    <row r="137" spans="5:5">
      <c r="E137">
        <f>'Livestock parameters'!B22*'Livestock parameters'!N22*INPUTS!D19</f>
        <v>0</v>
      </c>
    </row>
  </sheetData>
  <sheetProtection selectLockedCells="1"/>
  <hyperlinks>
    <hyperlink ref="V63" r:id="rId1"/>
  </hyperlinks>
  <pageMargins left="0.7" right="0.7" top="0.75" bottom="0.75" header="0.3" footer="0.3"/>
  <pageSetup paperSize="9" orientation="portrait" r:id="rId2"/>
  <ignoredErrors>
    <ignoredError sqref="G31 G26:G28 G20 G22:G24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Z55"/>
  <sheetViews>
    <sheetView zoomScale="70" zoomScaleNormal="70" workbookViewId="0">
      <selection activeCell="M19" sqref="M19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13.375" style="12" customWidth="1"/>
    <col min="23" max="26" width="8.875" customWidth="1"/>
  </cols>
  <sheetData>
    <row r="1" spans="1:26">
      <c r="B1" s="1481" t="s">
        <v>1131</v>
      </c>
      <c r="C1" s="1481"/>
      <c r="D1" s="1481"/>
    </row>
    <row r="2" spans="1:26" ht="94.5">
      <c r="A2" s="395" t="s">
        <v>628</v>
      </c>
      <c r="B2" s="627" t="s">
        <v>1696</v>
      </c>
      <c r="C2" s="627" t="s">
        <v>1001</v>
      </c>
      <c r="D2" s="627" t="s">
        <v>1002</v>
      </c>
      <c r="E2" s="627" t="s">
        <v>647</v>
      </c>
      <c r="F2" s="627" t="s">
        <v>1003</v>
      </c>
      <c r="G2" s="627" t="s">
        <v>1009</v>
      </c>
      <c r="H2" s="627" t="s">
        <v>1004</v>
      </c>
      <c r="I2" s="627" t="s">
        <v>1007</v>
      </c>
      <c r="J2" s="627" t="s">
        <v>1005</v>
      </c>
      <c r="K2" s="627" t="s">
        <v>1008</v>
      </c>
      <c r="L2" s="627" t="s">
        <v>775</v>
      </c>
      <c r="M2" s="627" t="s">
        <v>1006</v>
      </c>
      <c r="N2" s="627" t="s">
        <v>959</v>
      </c>
      <c r="O2" s="627" t="s">
        <v>1010</v>
      </c>
      <c r="P2" s="627" t="s">
        <v>960</v>
      </c>
      <c r="Q2" s="627" t="s">
        <v>958</v>
      </c>
      <c r="R2" s="45" t="s">
        <v>1269</v>
      </c>
      <c r="S2" s="45" t="s">
        <v>1270</v>
      </c>
      <c r="T2" s="68" t="s">
        <v>1271</v>
      </c>
      <c r="U2" s="218" t="s">
        <v>1272</v>
      </c>
      <c r="V2" s="1089" t="s">
        <v>1394</v>
      </c>
      <c r="W2" s="1437" t="s">
        <v>1395</v>
      </c>
      <c r="X2" s="1437" t="s">
        <v>1396</v>
      </c>
      <c r="Y2" s="1437" t="s">
        <v>1397</v>
      </c>
      <c r="Z2" s="1437" t="s">
        <v>1398</v>
      </c>
    </row>
    <row r="3" spans="1:26">
      <c r="A3" s="737" t="s">
        <v>1602</v>
      </c>
      <c r="B3" s="629"/>
      <c r="C3" s="629">
        <v>0.26</v>
      </c>
      <c r="D3" s="1067">
        <f>B3*C3</f>
        <v>0</v>
      </c>
      <c r="E3" s="625"/>
      <c r="F3" s="626">
        <f>IFERROR(B3*((1-E3)/E3), )</f>
        <v>0</v>
      </c>
      <c r="G3" s="626">
        <f>1-(O3/100)</f>
        <v>1</v>
      </c>
      <c r="H3" s="626">
        <f>F3*G3</f>
        <v>0</v>
      </c>
      <c r="I3" s="627">
        <f>K3*(D3*1000)</f>
        <v>0</v>
      </c>
      <c r="J3" s="631">
        <f>0.11/6.25</f>
        <v>1.7600000000000001E-2</v>
      </c>
      <c r="K3" s="631">
        <f>0.11/6.25</f>
        <v>1.7600000000000001E-2</v>
      </c>
      <c r="L3" s="631"/>
      <c r="M3" s="632">
        <f>IF(ISNUMBER(SEARCH("legume",V3)),0.5*(K3*H3+J3*D3)*1000,0)</f>
        <v>0</v>
      </c>
      <c r="N3" s="631"/>
      <c r="O3" s="631"/>
      <c r="P3" s="627">
        <f>(N3*100)/(100-O3)</f>
        <v>0</v>
      </c>
      <c r="Q3" s="625"/>
      <c r="R3" s="631">
        <v>0.6</v>
      </c>
      <c r="S3" s="631">
        <v>1.1000000000000001</v>
      </c>
      <c r="T3" s="631">
        <v>1.05</v>
      </c>
      <c r="U3" s="1434">
        <f t="shared" ref="U3:U4" si="0">AVERAGE(R3:T3)</f>
        <v>0.91666666666666663</v>
      </c>
      <c r="V3" s="625" t="s">
        <v>1385</v>
      </c>
      <c r="W3" s="631"/>
      <c r="X3" s="631"/>
      <c r="Y3" s="631"/>
      <c r="Z3" s="625"/>
    </row>
    <row r="4" spans="1:26">
      <c r="A4" s="738" t="s">
        <v>1141</v>
      </c>
      <c r="B4" s="631"/>
      <c r="C4" s="631">
        <v>0.26</v>
      </c>
      <c r="D4" s="1067">
        <f t="shared" ref="D4:D22" si="1">B4*C4</f>
        <v>0</v>
      </c>
      <c r="E4" s="625"/>
      <c r="F4" s="626">
        <f t="shared" ref="F4:F43" si="2">IFERROR(B4*((1-E4)/E4), )</f>
        <v>0</v>
      </c>
      <c r="G4" s="626">
        <f t="shared" ref="G4:G43" si="3">1-(O4/100)</f>
        <v>1</v>
      </c>
      <c r="H4" s="626">
        <f>F4*G4</f>
        <v>0</v>
      </c>
      <c r="I4" s="627">
        <f t="shared" ref="I4:I43" si="4">K4*(D4*1000)</f>
        <v>0</v>
      </c>
      <c r="J4" s="918">
        <f>0.14/6.25</f>
        <v>2.2400000000000003E-2</v>
      </c>
      <c r="K4" s="918">
        <f>0.14/6.25</f>
        <v>2.2400000000000003E-2</v>
      </c>
      <c r="L4" s="928"/>
      <c r="M4" s="632">
        <f t="shared" ref="M4:M43" si="5">IF(ISNUMBER(SEARCH("legume",V4)),0.5*(K4*H4+J4*D4)*1000,0)</f>
        <v>0</v>
      </c>
      <c r="N4" s="918"/>
      <c r="O4" s="928"/>
      <c r="P4" s="627">
        <f t="shared" ref="P4:P43" si="6">(N4*100)/(100-O4)</f>
        <v>0</v>
      </c>
      <c r="Q4" s="625"/>
      <c r="R4" s="918">
        <v>0.6</v>
      </c>
      <c r="S4" s="918">
        <v>1.1000000000000001</v>
      </c>
      <c r="T4" s="928">
        <v>1.05</v>
      </c>
      <c r="U4" s="1434">
        <f t="shared" si="0"/>
        <v>0.91666666666666663</v>
      </c>
      <c r="V4" s="625" t="s">
        <v>1385</v>
      </c>
      <c r="W4" s="918"/>
      <c r="X4" s="918"/>
      <c r="Y4" s="928"/>
      <c r="Z4" s="625"/>
    </row>
    <row r="5" spans="1:26">
      <c r="A5" s="630" t="s">
        <v>1133</v>
      </c>
      <c r="B5" s="631">
        <v>1.33</v>
      </c>
      <c r="C5" s="631">
        <v>0.8</v>
      </c>
      <c r="D5" s="1067">
        <f t="shared" si="1"/>
        <v>1.0640000000000001</v>
      </c>
      <c r="E5" s="625">
        <v>0.47</v>
      </c>
      <c r="F5" s="626">
        <f t="shared" si="2"/>
        <v>1.4997872340425535</v>
      </c>
      <c r="G5" s="626">
        <f t="shared" si="3"/>
        <v>0.89629999999999999</v>
      </c>
      <c r="H5" s="626">
        <f t="shared" ref="H5:H41" si="7">F5*G5</f>
        <v>1.3442592978723407</v>
      </c>
      <c r="I5" s="627">
        <f t="shared" si="4"/>
        <v>7.4480000000000004</v>
      </c>
      <c r="J5" s="930">
        <v>1.7000000000000001E-2</v>
      </c>
      <c r="K5" s="929">
        <v>7.0000000000000001E-3</v>
      </c>
      <c r="L5" s="631">
        <v>0.05</v>
      </c>
      <c r="M5" s="632">
        <f t="shared" si="5"/>
        <v>0</v>
      </c>
      <c r="N5" s="929">
        <v>365</v>
      </c>
      <c r="O5" s="631">
        <v>10.37</v>
      </c>
      <c r="P5" s="627">
        <f t="shared" si="6"/>
        <v>407.22972219123062</v>
      </c>
      <c r="Q5" s="625">
        <v>20314</v>
      </c>
      <c r="R5" s="930">
        <v>0.15</v>
      </c>
      <c r="S5" s="929">
        <v>1.1499999999999999</v>
      </c>
      <c r="T5" s="631">
        <v>0.3</v>
      </c>
      <c r="U5" s="1434">
        <f t="shared" ref="U5:U14" si="8">AVERAGE(R5:T5)</f>
        <v>0.53333333333333333</v>
      </c>
      <c r="V5" s="625" t="s">
        <v>1858</v>
      </c>
      <c r="W5" s="930"/>
      <c r="X5" s="929"/>
      <c r="Y5" s="631"/>
      <c r="Z5" s="625"/>
    </row>
    <row r="6" spans="1:26" ht="16.5" customHeight="1">
      <c r="A6" s="735" t="s">
        <v>1606</v>
      </c>
      <c r="B6" s="631"/>
      <c r="C6" s="631"/>
      <c r="D6" s="1067">
        <f t="shared" si="1"/>
        <v>0</v>
      </c>
      <c r="E6" s="625"/>
      <c r="F6" s="626">
        <f t="shared" si="2"/>
        <v>0</v>
      </c>
      <c r="G6" s="626">
        <f t="shared" si="3"/>
        <v>1</v>
      </c>
      <c r="H6" s="626">
        <f t="shared" si="7"/>
        <v>0</v>
      </c>
      <c r="I6" s="627">
        <f t="shared" si="4"/>
        <v>0</v>
      </c>
      <c r="J6" s="918">
        <v>3.56E-2</v>
      </c>
      <c r="K6" s="918">
        <v>3.56E-2</v>
      </c>
      <c r="L6" s="631"/>
      <c r="M6" s="632">
        <f t="shared" si="5"/>
        <v>0</v>
      </c>
      <c r="N6" s="918"/>
      <c r="O6" s="631"/>
      <c r="P6" s="627">
        <f t="shared" si="6"/>
        <v>0</v>
      </c>
      <c r="Q6" s="625"/>
      <c r="R6" s="918">
        <v>1.05</v>
      </c>
      <c r="S6" s="918">
        <v>1.1000000000000001</v>
      </c>
      <c r="T6" s="631">
        <v>1.1000000000000001</v>
      </c>
      <c r="U6" s="1434">
        <f t="shared" si="8"/>
        <v>1.0833333333333335</v>
      </c>
      <c r="V6" s="625" t="s">
        <v>1859</v>
      </c>
      <c r="W6" s="918">
        <v>3000</v>
      </c>
      <c r="X6" s="918">
        <v>18</v>
      </c>
      <c r="Y6" s="631">
        <v>2</v>
      </c>
      <c r="Z6" s="625"/>
    </row>
    <row r="7" spans="1:26" s="144" customFormat="1">
      <c r="A7" s="736" t="s">
        <v>646</v>
      </c>
      <c r="B7" s="629">
        <v>1.22</v>
      </c>
      <c r="C7" s="629">
        <v>0.95</v>
      </c>
      <c r="D7" s="1067">
        <f t="shared" si="1"/>
        <v>1.159</v>
      </c>
      <c r="E7" s="625">
        <v>0.28999999999999998</v>
      </c>
      <c r="F7" s="626">
        <f t="shared" si="2"/>
        <v>2.9868965517241381</v>
      </c>
      <c r="G7" s="626">
        <f t="shared" si="3"/>
        <v>0.93500000000000005</v>
      </c>
      <c r="H7" s="626">
        <f t="shared" si="7"/>
        <v>2.7927482758620692</v>
      </c>
      <c r="I7" s="627">
        <f t="shared" si="4"/>
        <v>13.907999999999999</v>
      </c>
      <c r="J7" s="631">
        <v>3.6999999999999998E-2</v>
      </c>
      <c r="K7" s="631">
        <v>1.2E-2</v>
      </c>
      <c r="L7" s="631">
        <v>0.11700000000000001</v>
      </c>
      <c r="M7" s="632">
        <f t="shared" si="5"/>
        <v>38.197989655172421</v>
      </c>
      <c r="N7" s="631">
        <v>567</v>
      </c>
      <c r="O7" s="631">
        <v>6.5</v>
      </c>
      <c r="P7" s="627">
        <f t="shared" si="6"/>
        <v>606.4171122994652</v>
      </c>
      <c r="Q7" s="625">
        <v>16067</v>
      </c>
      <c r="R7" s="631">
        <v>0.15</v>
      </c>
      <c r="S7" s="631">
        <v>1.1499999999999999</v>
      </c>
      <c r="T7" s="631">
        <v>0.6</v>
      </c>
      <c r="U7" s="1434">
        <f t="shared" si="8"/>
        <v>0.6333333333333333</v>
      </c>
      <c r="V7" s="625" t="s">
        <v>1760</v>
      </c>
      <c r="W7" s="631"/>
      <c r="X7" s="631"/>
      <c r="Y7" s="631"/>
      <c r="Z7" s="625"/>
    </row>
    <row r="8" spans="1:26" s="144" customFormat="1">
      <c r="A8" s="738" t="s">
        <v>1607</v>
      </c>
      <c r="B8" s="629"/>
      <c r="C8" s="631"/>
      <c r="D8" s="1067">
        <f t="shared" si="1"/>
        <v>0</v>
      </c>
      <c r="E8" s="625"/>
      <c r="F8" s="626">
        <f t="shared" si="2"/>
        <v>0</v>
      </c>
      <c r="G8" s="626">
        <f t="shared" si="3"/>
        <v>0.19200000000000006</v>
      </c>
      <c r="H8" s="626">
        <f t="shared" si="7"/>
        <v>0</v>
      </c>
      <c r="I8" s="627">
        <f t="shared" si="4"/>
        <v>0</v>
      </c>
      <c r="J8" s="931">
        <v>2E-3</v>
      </c>
      <c r="K8" s="631">
        <v>2.8000000000000001E-2</v>
      </c>
      <c r="L8" s="631">
        <v>0.14599999999999999</v>
      </c>
      <c r="M8" s="632">
        <f t="shared" si="5"/>
        <v>0</v>
      </c>
      <c r="N8" s="631">
        <v>68</v>
      </c>
      <c r="O8" s="631">
        <v>80.8</v>
      </c>
      <c r="P8" s="627">
        <f t="shared" si="6"/>
        <v>354.16666666666663</v>
      </c>
      <c r="Q8" s="625">
        <v>9139</v>
      </c>
      <c r="R8" s="734">
        <v>1.05</v>
      </c>
      <c r="S8" s="631">
        <v>1.1000000000000001</v>
      </c>
      <c r="T8" s="631">
        <v>1.1000000000000001</v>
      </c>
      <c r="U8" s="1434">
        <f t="shared" si="8"/>
        <v>1.0833333333333335</v>
      </c>
      <c r="V8" s="625" t="s">
        <v>1389</v>
      </c>
      <c r="W8" s="734">
        <v>25</v>
      </c>
      <c r="X8" s="631">
        <v>20</v>
      </c>
      <c r="Y8" s="631"/>
      <c r="Z8" s="625"/>
    </row>
    <row r="9" spans="1:26">
      <c r="A9" s="736" t="s">
        <v>1680</v>
      </c>
      <c r="B9" s="629"/>
      <c r="C9" s="629"/>
      <c r="D9" s="1067">
        <f t="shared" si="1"/>
        <v>0</v>
      </c>
      <c r="E9" s="625"/>
      <c r="F9" s="626">
        <f t="shared" si="2"/>
        <v>0</v>
      </c>
      <c r="G9" s="626">
        <f t="shared" si="3"/>
        <v>1</v>
      </c>
      <c r="H9" s="626">
        <f t="shared" si="7"/>
        <v>0</v>
      </c>
      <c r="I9" s="627">
        <f t="shared" si="4"/>
        <v>0</v>
      </c>
      <c r="J9" s="319">
        <f>0.15/6.25</f>
        <v>2.4E-2</v>
      </c>
      <c r="K9" s="631"/>
      <c r="L9" s="631"/>
      <c r="M9" s="632">
        <f t="shared" si="5"/>
        <v>0</v>
      </c>
      <c r="N9" s="631"/>
      <c r="O9" s="631"/>
      <c r="P9" s="627">
        <f t="shared" si="6"/>
        <v>0</v>
      </c>
      <c r="Q9" s="625"/>
      <c r="R9" s="631">
        <v>1.05</v>
      </c>
      <c r="S9" s="631">
        <v>1.1000000000000001</v>
      </c>
      <c r="T9" s="631">
        <v>1.1000000000000001</v>
      </c>
      <c r="U9" s="1434">
        <f t="shared" si="8"/>
        <v>1.0833333333333335</v>
      </c>
      <c r="V9" s="625" t="s">
        <v>1859</v>
      </c>
      <c r="W9" s="631">
        <v>10000</v>
      </c>
      <c r="X9" s="631"/>
      <c r="Y9" s="631"/>
      <c r="Z9" s="625"/>
    </row>
    <row r="10" spans="1:26" s="924" customFormat="1">
      <c r="A10" s="736" t="s">
        <v>1608</v>
      </c>
      <c r="B10" s="629"/>
      <c r="C10" s="629"/>
      <c r="D10" s="1067">
        <f t="shared" si="1"/>
        <v>0</v>
      </c>
      <c r="E10" s="625"/>
      <c r="F10" s="626">
        <f t="shared" si="2"/>
        <v>0</v>
      </c>
      <c r="G10" s="626">
        <f t="shared" si="3"/>
        <v>1</v>
      </c>
      <c r="H10" s="626">
        <f t="shared" si="7"/>
        <v>0</v>
      </c>
      <c r="I10" s="627">
        <f t="shared" si="4"/>
        <v>0</v>
      </c>
      <c r="J10" s="734">
        <v>0.01</v>
      </c>
      <c r="K10" s="918">
        <v>0.01</v>
      </c>
      <c r="L10" s="631"/>
      <c r="M10" s="632">
        <f t="shared" si="5"/>
        <v>0</v>
      </c>
      <c r="N10" s="631"/>
      <c r="O10" s="631"/>
      <c r="P10" s="627">
        <f t="shared" si="6"/>
        <v>0</v>
      </c>
      <c r="Q10" s="625"/>
      <c r="R10" s="734">
        <v>0.3</v>
      </c>
      <c r="S10" s="631">
        <v>0.75</v>
      </c>
      <c r="T10" s="631">
        <v>0.75</v>
      </c>
      <c r="U10" s="1434">
        <f t="shared" si="8"/>
        <v>0.6</v>
      </c>
      <c r="V10" s="625" t="s">
        <v>1385</v>
      </c>
      <c r="W10" s="734"/>
      <c r="X10" s="631"/>
      <c r="Y10" s="631"/>
      <c r="Z10" s="625"/>
    </row>
    <row r="11" spans="1:26" s="910" customFormat="1">
      <c r="A11" s="916" t="s">
        <v>1691</v>
      </c>
      <c r="B11" s="631"/>
      <c r="C11" s="631"/>
      <c r="D11" s="1067">
        <f t="shared" si="1"/>
        <v>0</v>
      </c>
      <c r="E11" s="625"/>
      <c r="F11" s="626">
        <f t="shared" si="2"/>
        <v>0</v>
      </c>
      <c r="G11" s="626">
        <f t="shared" si="3"/>
        <v>1</v>
      </c>
      <c r="H11" s="626">
        <f t="shared" si="7"/>
        <v>0</v>
      </c>
      <c r="I11" s="627">
        <f t="shared" si="4"/>
        <v>0</v>
      </c>
      <c r="J11" s="734">
        <v>0.01</v>
      </c>
      <c r="K11" s="918">
        <v>0.01</v>
      </c>
      <c r="L11" s="631"/>
      <c r="M11" s="632">
        <f t="shared" si="5"/>
        <v>0</v>
      </c>
      <c r="N11" s="918"/>
      <c r="O11" s="631"/>
      <c r="P11" s="627">
        <f t="shared" si="6"/>
        <v>0</v>
      </c>
      <c r="Q11" s="625"/>
      <c r="R11" s="734">
        <v>0.3</v>
      </c>
      <c r="S11" s="918">
        <v>0.75</v>
      </c>
      <c r="T11" s="631">
        <v>0.75</v>
      </c>
      <c r="U11" s="1434">
        <f t="shared" si="8"/>
        <v>0.6</v>
      </c>
      <c r="V11" s="625" t="s">
        <v>1385</v>
      </c>
      <c r="W11" s="734"/>
      <c r="X11" s="918"/>
      <c r="Y11" s="631"/>
      <c r="Z11" s="625"/>
    </row>
    <row r="12" spans="1:26">
      <c r="A12" s="735" t="s">
        <v>1624</v>
      </c>
      <c r="B12" s="631">
        <v>1.843</v>
      </c>
      <c r="C12" s="631">
        <v>0.88</v>
      </c>
      <c r="D12" s="1067">
        <f t="shared" si="1"/>
        <v>1.6218399999999999</v>
      </c>
      <c r="E12" s="625">
        <v>0.5</v>
      </c>
      <c r="F12" s="626">
        <f t="shared" si="2"/>
        <v>1.843</v>
      </c>
      <c r="G12" s="626">
        <f t="shared" si="3"/>
        <v>0.89410000000000001</v>
      </c>
      <c r="H12" s="626">
        <f t="shared" si="7"/>
        <v>1.6478263</v>
      </c>
      <c r="I12" s="627">
        <f t="shared" si="4"/>
        <v>64.873599999999996</v>
      </c>
      <c r="J12" s="734">
        <v>4.0000000000000001E-3</v>
      </c>
      <c r="K12" s="918">
        <v>0.04</v>
      </c>
      <c r="L12" s="631"/>
      <c r="M12" s="632">
        <f t="shared" si="5"/>
        <v>36.200206000000001</v>
      </c>
      <c r="N12" s="918">
        <v>343</v>
      </c>
      <c r="O12" s="631">
        <v>10.59</v>
      </c>
      <c r="P12" s="627">
        <f t="shared" si="6"/>
        <v>383.62599261827535</v>
      </c>
      <c r="Q12" s="625">
        <v>16101</v>
      </c>
      <c r="R12" s="734">
        <v>0.15</v>
      </c>
      <c r="S12" s="918">
        <v>1.1000000000000001</v>
      </c>
      <c r="T12" s="631">
        <v>0.25</v>
      </c>
      <c r="U12" s="1434">
        <f t="shared" si="8"/>
        <v>0.5</v>
      </c>
      <c r="V12" s="625" t="s">
        <v>1760</v>
      </c>
      <c r="W12" s="734"/>
      <c r="X12" s="918"/>
      <c r="Y12" s="631"/>
      <c r="Z12" s="625"/>
    </row>
    <row r="13" spans="1:26">
      <c r="A13" s="630" t="s">
        <v>914</v>
      </c>
      <c r="B13" s="629"/>
      <c r="C13" s="629"/>
      <c r="D13" s="1067">
        <f t="shared" si="1"/>
        <v>0</v>
      </c>
      <c r="E13" s="625"/>
      <c r="F13" s="626">
        <f t="shared" si="2"/>
        <v>0</v>
      </c>
      <c r="G13" s="626">
        <f t="shared" si="3"/>
        <v>1</v>
      </c>
      <c r="H13" s="626">
        <f t="shared" si="7"/>
        <v>0</v>
      </c>
      <c r="I13" s="627">
        <f t="shared" si="4"/>
        <v>0</v>
      </c>
      <c r="J13" s="734">
        <v>3.4000000000000002E-2</v>
      </c>
      <c r="K13" s="631">
        <v>3.4000000000000002E-2</v>
      </c>
      <c r="L13" s="631"/>
      <c r="M13" s="632">
        <f t="shared" si="5"/>
        <v>0</v>
      </c>
      <c r="N13" s="631"/>
      <c r="O13" s="631"/>
      <c r="P13" s="627">
        <f t="shared" si="6"/>
        <v>0</v>
      </c>
      <c r="Q13" s="625"/>
      <c r="R13" s="734">
        <v>1.05</v>
      </c>
      <c r="S13" s="631">
        <v>1.1000000000000001</v>
      </c>
      <c r="T13" s="631">
        <v>1.1000000000000001</v>
      </c>
      <c r="U13" s="1434">
        <f t="shared" si="8"/>
        <v>1.0833333333333335</v>
      </c>
      <c r="V13" s="625" t="s">
        <v>1859</v>
      </c>
      <c r="W13" s="734">
        <v>400</v>
      </c>
      <c r="X13" s="631">
        <v>18</v>
      </c>
      <c r="Y13" s="631">
        <v>3</v>
      </c>
      <c r="Z13" s="625"/>
    </row>
    <row r="14" spans="1:26">
      <c r="A14" s="736" t="s">
        <v>378</v>
      </c>
      <c r="B14" s="629">
        <v>4.33</v>
      </c>
      <c r="C14" s="629">
        <v>0.3</v>
      </c>
      <c r="D14" s="1067">
        <f t="shared" si="1"/>
        <v>1.2989999999999999</v>
      </c>
      <c r="E14" s="625">
        <v>0.52</v>
      </c>
      <c r="F14" s="626">
        <f t="shared" si="2"/>
        <v>3.9969230769230766</v>
      </c>
      <c r="G14" s="626">
        <f t="shared" si="3"/>
        <v>0.89629999999999999</v>
      </c>
      <c r="H14" s="626">
        <f t="shared" si="7"/>
        <v>3.5824421538461535</v>
      </c>
      <c r="I14" s="627">
        <f t="shared" si="4"/>
        <v>7.6900800000000009</v>
      </c>
      <c r="J14" s="1433">
        <v>1.2800000000000001E-2</v>
      </c>
      <c r="K14" s="1068">
        <v>5.9200000000000008E-3</v>
      </c>
      <c r="L14" s="1068">
        <v>0.1</v>
      </c>
      <c r="M14" s="632">
        <f t="shared" si="5"/>
        <v>0</v>
      </c>
      <c r="N14" s="1069">
        <v>365</v>
      </c>
      <c r="O14" s="631">
        <v>10.37</v>
      </c>
      <c r="P14" s="627">
        <f t="shared" si="6"/>
        <v>407.22972219123062</v>
      </c>
      <c r="Q14" s="1070">
        <v>20314</v>
      </c>
      <c r="R14" s="1071">
        <v>0.15</v>
      </c>
      <c r="S14" s="1072">
        <v>1.2</v>
      </c>
      <c r="T14" s="1072">
        <v>0.6</v>
      </c>
      <c r="U14" s="1434">
        <f t="shared" si="8"/>
        <v>0.64999999999999991</v>
      </c>
      <c r="V14" s="1070" t="s">
        <v>1385</v>
      </c>
      <c r="W14" s="1071"/>
      <c r="X14" s="1072"/>
      <c r="Y14" s="1072"/>
      <c r="Z14" s="1070"/>
    </row>
    <row r="15" spans="1:26" s="910" customFormat="1">
      <c r="A15" s="736" t="s">
        <v>1694</v>
      </c>
      <c r="B15" s="629">
        <v>40</v>
      </c>
      <c r="C15" s="629">
        <v>0.25</v>
      </c>
      <c r="D15" s="1067">
        <f t="shared" si="1"/>
        <v>10</v>
      </c>
      <c r="E15" s="625">
        <v>1</v>
      </c>
      <c r="F15" s="626">
        <f t="shared" si="2"/>
        <v>0</v>
      </c>
      <c r="G15" s="626">
        <f t="shared" si="3"/>
        <v>1</v>
      </c>
      <c r="H15" s="626">
        <f t="shared" si="7"/>
        <v>0</v>
      </c>
      <c r="I15" s="627">
        <f t="shared" si="4"/>
        <v>120</v>
      </c>
      <c r="J15" s="734">
        <v>1.2E-2</v>
      </c>
      <c r="K15" s="631">
        <v>1.2E-2</v>
      </c>
      <c r="L15" s="631">
        <v>0.05</v>
      </c>
      <c r="M15" s="632">
        <f t="shared" si="5"/>
        <v>0</v>
      </c>
      <c r="N15" s="631"/>
      <c r="O15" s="631"/>
      <c r="P15" s="627">
        <f t="shared" si="6"/>
        <v>0</v>
      </c>
      <c r="Q15" s="625"/>
      <c r="R15" s="734">
        <v>0.15</v>
      </c>
      <c r="S15" s="631">
        <v>1.1499999999999999</v>
      </c>
      <c r="T15" s="631">
        <v>0.3</v>
      </c>
      <c r="U15" s="1434">
        <v>0.53333333333333333</v>
      </c>
      <c r="V15" s="625" t="s">
        <v>1858</v>
      </c>
      <c r="W15" s="734"/>
      <c r="X15" s="631"/>
      <c r="Y15" s="631"/>
      <c r="Z15" s="625"/>
    </row>
    <row r="16" spans="1:26">
      <c r="A16" s="736" t="s">
        <v>1679</v>
      </c>
      <c r="B16" s="629"/>
      <c r="C16" s="629"/>
      <c r="D16" s="1067">
        <f t="shared" si="1"/>
        <v>0</v>
      </c>
      <c r="E16" s="625"/>
      <c r="F16" s="626">
        <f t="shared" si="2"/>
        <v>0</v>
      </c>
      <c r="G16" s="626">
        <f t="shared" si="3"/>
        <v>1</v>
      </c>
      <c r="H16" s="626">
        <f t="shared" si="7"/>
        <v>0</v>
      </c>
      <c r="I16" s="627">
        <f t="shared" si="4"/>
        <v>0</v>
      </c>
      <c r="J16" s="734">
        <v>3.7999999999999999E-2</v>
      </c>
      <c r="K16" s="631">
        <v>3.7999999999999999E-2</v>
      </c>
      <c r="L16" s="631"/>
      <c r="M16" s="632">
        <f t="shared" si="5"/>
        <v>0</v>
      </c>
      <c r="N16" s="631"/>
      <c r="O16" s="631"/>
      <c r="P16" s="627">
        <f t="shared" si="6"/>
        <v>0</v>
      </c>
      <c r="Q16" s="625"/>
      <c r="R16" s="734">
        <v>1.05</v>
      </c>
      <c r="S16" s="631">
        <v>1.1000000000000001</v>
      </c>
      <c r="T16" s="631">
        <v>1.1000000000000001</v>
      </c>
      <c r="U16" s="1434">
        <f>AVERAGE(R16:T16)</f>
        <v>1.0833333333333335</v>
      </c>
      <c r="V16" s="625" t="s">
        <v>1859</v>
      </c>
      <c r="W16" s="734">
        <v>80000</v>
      </c>
      <c r="X16" s="631"/>
      <c r="Y16" s="631"/>
      <c r="Z16" s="625"/>
    </row>
    <row r="17" spans="1:26">
      <c r="A17" s="736" t="s">
        <v>1768</v>
      </c>
      <c r="B17" s="629">
        <v>10</v>
      </c>
      <c r="C17" s="629"/>
      <c r="D17" s="1067">
        <f t="shared" si="1"/>
        <v>0</v>
      </c>
      <c r="E17" s="625"/>
      <c r="F17" s="626">
        <f t="shared" si="2"/>
        <v>0</v>
      </c>
      <c r="G17" s="626">
        <f t="shared" si="3"/>
        <v>1</v>
      </c>
      <c r="H17" s="626">
        <f t="shared" si="7"/>
        <v>0</v>
      </c>
      <c r="I17" s="627">
        <f t="shared" si="4"/>
        <v>0</v>
      </c>
      <c r="J17" s="734">
        <v>2.5000000000000001E-2</v>
      </c>
      <c r="K17" s="631">
        <v>2.5000000000000001E-2</v>
      </c>
      <c r="L17" s="631"/>
      <c r="M17" s="632">
        <f t="shared" si="5"/>
        <v>0</v>
      </c>
      <c r="N17" s="631"/>
      <c r="O17" s="631"/>
      <c r="P17" s="627">
        <f t="shared" si="6"/>
        <v>0</v>
      </c>
      <c r="Q17" s="625"/>
      <c r="R17" s="734">
        <v>0.15</v>
      </c>
      <c r="S17" s="631">
        <v>1.2</v>
      </c>
      <c r="T17" s="631">
        <v>0.7</v>
      </c>
      <c r="U17" s="1434">
        <f>AVERAGE(R17:T17)</f>
        <v>0.68333333333333324</v>
      </c>
      <c r="V17" s="625"/>
      <c r="W17" s="734"/>
      <c r="X17" s="631"/>
      <c r="Y17" s="631"/>
      <c r="Z17" s="625"/>
    </row>
    <row r="18" spans="1:26">
      <c r="A18" s="630" t="s">
        <v>1143</v>
      </c>
      <c r="B18" s="631">
        <v>0</v>
      </c>
      <c r="C18" s="631">
        <v>0</v>
      </c>
      <c r="D18" s="1067">
        <f t="shared" si="1"/>
        <v>0</v>
      </c>
      <c r="E18" s="631">
        <v>0</v>
      </c>
      <c r="F18" s="626">
        <f t="shared" si="2"/>
        <v>0</v>
      </c>
      <c r="G18" s="626">
        <f t="shared" si="3"/>
        <v>1</v>
      </c>
      <c r="H18" s="626">
        <f t="shared" si="7"/>
        <v>0</v>
      </c>
      <c r="I18" s="627">
        <f t="shared" si="4"/>
        <v>0</v>
      </c>
      <c r="J18" s="631">
        <v>0</v>
      </c>
      <c r="K18" s="631">
        <v>0</v>
      </c>
      <c r="L18" s="631">
        <v>0</v>
      </c>
      <c r="M18" s="632">
        <f t="shared" si="5"/>
        <v>0</v>
      </c>
      <c r="N18" s="631">
        <v>0</v>
      </c>
      <c r="O18" s="631">
        <v>0</v>
      </c>
      <c r="P18" s="627">
        <f t="shared" si="6"/>
        <v>0</v>
      </c>
      <c r="Q18" s="631">
        <v>0</v>
      </c>
      <c r="R18" s="631">
        <v>0</v>
      </c>
      <c r="S18" s="631">
        <v>0</v>
      </c>
      <c r="T18" s="631">
        <v>0</v>
      </c>
      <c r="U18" s="1435">
        <v>0</v>
      </c>
      <c r="V18" s="631"/>
      <c r="W18" s="631"/>
      <c r="X18" s="631"/>
      <c r="Y18" s="631"/>
      <c r="Z18" s="631"/>
    </row>
    <row r="19" spans="1:26">
      <c r="A19" s="736" t="s">
        <v>1106</v>
      </c>
      <c r="B19" s="629">
        <v>45</v>
      </c>
      <c r="C19" s="629">
        <v>0.28999999999999998</v>
      </c>
      <c r="D19" s="1067">
        <f t="shared" si="1"/>
        <v>13.049999999999999</v>
      </c>
      <c r="E19" s="625">
        <v>0.9</v>
      </c>
      <c r="F19" s="626">
        <f t="shared" si="2"/>
        <v>4.9999999999999982</v>
      </c>
      <c r="G19" s="626">
        <f t="shared" si="3"/>
        <v>1</v>
      </c>
      <c r="H19" s="626">
        <f t="shared" si="7"/>
        <v>4.9999999999999982</v>
      </c>
      <c r="I19" s="627">
        <f t="shared" si="4"/>
        <v>0</v>
      </c>
      <c r="J19" s="1433">
        <v>0.01</v>
      </c>
      <c r="K19" s="1068">
        <v>0</v>
      </c>
      <c r="L19" s="1068">
        <v>0.05</v>
      </c>
      <c r="M19" s="632">
        <f t="shared" si="5"/>
        <v>0</v>
      </c>
      <c r="N19" s="1069"/>
      <c r="O19" s="631"/>
      <c r="P19" s="627">
        <f t="shared" si="6"/>
        <v>0</v>
      </c>
      <c r="Q19" s="1070"/>
      <c r="R19" s="1071">
        <v>0.3</v>
      </c>
      <c r="S19" s="1072">
        <v>0.75</v>
      </c>
      <c r="T19" s="1072">
        <v>0.75</v>
      </c>
      <c r="U19" s="1434">
        <f>AVERAGE(R19:T19)</f>
        <v>0.6</v>
      </c>
      <c r="V19" s="1070" t="s">
        <v>1385</v>
      </c>
      <c r="W19" s="1071"/>
      <c r="X19" s="1072"/>
      <c r="Y19" s="1072"/>
      <c r="Z19" s="1070"/>
    </row>
    <row r="20" spans="1:26">
      <c r="A20" s="630" t="s">
        <v>1609</v>
      </c>
      <c r="B20" s="631"/>
      <c r="C20" s="631"/>
      <c r="D20" s="1067">
        <f t="shared" si="1"/>
        <v>0</v>
      </c>
      <c r="E20" s="625"/>
      <c r="F20" s="626">
        <f t="shared" si="2"/>
        <v>0</v>
      </c>
      <c r="G20" s="626">
        <f t="shared" si="3"/>
        <v>1</v>
      </c>
      <c r="H20" s="626">
        <f>F20*G20</f>
        <v>0</v>
      </c>
      <c r="I20" s="627">
        <f t="shared" si="4"/>
        <v>0</v>
      </c>
      <c r="J20" s="734">
        <v>5.0000000000000001E-3</v>
      </c>
      <c r="K20" s="918">
        <v>5.0000000000000001E-3</v>
      </c>
      <c r="L20" s="631">
        <v>0.73</v>
      </c>
      <c r="M20" s="632">
        <f t="shared" si="5"/>
        <v>0</v>
      </c>
      <c r="N20" s="918"/>
      <c r="O20" s="631"/>
      <c r="P20" s="627">
        <f t="shared" si="6"/>
        <v>0</v>
      </c>
      <c r="Q20" s="625"/>
      <c r="R20" s="734">
        <v>1.05</v>
      </c>
      <c r="S20" s="918">
        <v>1.1000000000000001</v>
      </c>
      <c r="T20" s="631">
        <v>1.1000000000000001</v>
      </c>
      <c r="U20" s="1434">
        <f>AVERAGE(R20:T20)</f>
        <v>1.0833333333333335</v>
      </c>
      <c r="V20" s="625"/>
      <c r="W20" s="734"/>
      <c r="X20" s="918"/>
      <c r="Y20" s="631"/>
      <c r="Z20" s="625"/>
    </row>
    <row r="21" spans="1:26">
      <c r="A21" s="738" t="s">
        <v>1246</v>
      </c>
      <c r="B21" s="631"/>
      <c r="C21" s="631"/>
      <c r="D21" s="1067">
        <f t="shared" si="1"/>
        <v>0</v>
      </c>
      <c r="E21" s="625"/>
      <c r="F21" s="626">
        <f t="shared" si="2"/>
        <v>0</v>
      </c>
      <c r="G21" s="626">
        <f t="shared" si="3"/>
        <v>1</v>
      </c>
      <c r="H21" s="626">
        <f t="shared" si="7"/>
        <v>0</v>
      </c>
      <c r="I21" s="627">
        <f t="shared" si="4"/>
        <v>0</v>
      </c>
      <c r="J21" s="734">
        <f>0.12/6.25</f>
        <v>1.9199999999999998E-2</v>
      </c>
      <c r="K21" s="918">
        <f>0.12/6.25</f>
        <v>1.9199999999999998E-2</v>
      </c>
      <c r="L21" s="631"/>
      <c r="M21" s="632">
        <f t="shared" si="5"/>
        <v>0</v>
      </c>
      <c r="N21" s="918"/>
      <c r="O21" s="631"/>
      <c r="P21" s="627">
        <f t="shared" si="6"/>
        <v>0</v>
      </c>
      <c r="Q21" s="625"/>
      <c r="R21" s="734">
        <v>0.6</v>
      </c>
      <c r="S21" s="918">
        <v>1.1000000000000001</v>
      </c>
      <c r="T21" s="631">
        <v>1.05</v>
      </c>
      <c r="U21" s="1434">
        <f>AVERAGE(R21:T21)</f>
        <v>0.91666666666666663</v>
      </c>
      <c r="V21" s="625" t="s">
        <v>1385</v>
      </c>
      <c r="W21" s="734"/>
      <c r="X21" s="918"/>
      <c r="Y21" s="631"/>
      <c r="Z21" s="625"/>
    </row>
    <row r="22" spans="1:26" s="917" customFormat="1">
      <c r="A22" s="735" t="s">
        <v>1247</v>
      </c>
      <c r="B22" s="631"/>
      <c r="C22" s="631"/>
      <c r="D22" s="1067">
        <f t="shared" si="1"/>
        <v>0</v>
      </c>
      <c r="E22" s="625"/>
      <c r="F22" s="626">
        <f t="shared" si="2"/>
        <v>0</v>
      </c>
      <c r="G22" s="626">
        <f t="shared" si="3"/>
        <v>1</v>
      </c>
      <c r="H22" s="626">
        <f t="shared" si="7"/>
        <v>0</v>
      </c>
      <c r="I22" s="627">
        <f t="shared" si="4"/>
        <v>0</v>
      </c>
      <c r="J22" s="734">
        <f>0.1/6.25</f>
        <v>1.6E-2</v>
      </c>
      <c r="K22" s="631">
        <f>0.1/6.25</f>
        <v>1.6E-2</v>
      </c>
      <c r="L22" s="631"/>
      <c r="M22" s="632">
        <f t="shared" si="5"/>
        <v>0</v>
      </c>
      <c r="N22" s="631"/>
      <c r="O22" s="631"/>
      <c r="P22" s="627">
        <f t="shared" si="6"/>
        <v>0</v>
      </c>
      <c r="Q22" s="625"/>
      <c r="R22" s="734">
        <v>0.3</v>
      </c>
      <c r="S22" s="631">
        <v>0.75</v>
      </c>
      <c r="T22" s="631">
        <v>0.75</v>
      </c>
      <c r="U22" s="1434">
        <f>AVERAGE(R22:T22)</f>
        <v>0.6</v>
      </c>
      <c r="V22" s="625" t="s">
        <v>1385</v>
      </c>
      <c r="W22" s="734"/>
      <c r="X22" s="631"/>
      <c r="Y22" s="631"/>
      <c r="Z22" s="625"/>
    </row>
    <row r="23" spans="1:26" s="909" customFormat="1">
      <c r="A23" s="733" t="s">
        <v>1721</v>
      </c>
      <c r="B23" s="629">
        <v>105</v>
      </c>
      <c r="C23" s="629">
        <v>0.21</v>
      </c>
      <c r="D23" s="1067">
        <f t="shared" ref="D23:D31" si="9">B23*C23</f>
        <v>22.05</v>
      </c>
      <c r="E23" s="625">
        <v>0.9</v>
      </c>
      <c r="F23" s="626">
        <f t="shared" si="2"/>
        <v>11.666666666666663</v>
      </c>
      <c r="G23" s="626">
        <f t="shared" si="3"/>
        <v>1</v>
      </c>
      <c r="H23" s="626">
        <f t="shared" si="7"/>
        <v>11.666666666666663</v>
      </c>
      <c r="I23" s="627">
        <f t="shared" si="4"/>
        <v>0</v>
      </c>
      <c r="J23" s="1433">
        <v>1.2800000000000001E-2</v>
      </c>
      <c r="K23" s="1068">
        <v>0</v>
      </c>
      <c r="L23" s="1068">
        <v>0.01</v>
      </c>
      <c r="M23" s="632">
        <f t="shared" si="5"/>
        <v>0</v>
      </c>
      <c r="N23" s="1069"/>
      <c r="O23" s="631"/>
      <c r="P23" s="627">
        <f t="shared" si="6"/>
        <v>0</v>
      </c>
      <c r="Q23" s="1070"/>
      <c r="R23" s="1071">
        <v>0.6</v>
      </c>
      <c r="S23" s="1072">
        <v>1.1000000000000001</v>
      </c>
      <c r="T23" s="1072">
        <v>1.05</v>
      </c>
      <c r="U23" s="1434">
        <f>AVERAGE(R23:T23)</f>
        <v>0.91666666666666663</v>
      </c>
      <c r="V23" s="1070" t="s">
        <v>1385</v>
      </c>
      <c r="W23" s="1071"/>
      <c r="X23" s="1072"/>
      <c r="Y23" s="1072"/>
      <c r="Z23" s="1070"/>
    </row>
    <row r="24" spans="1:26" s="959" customFormat="1">
      <c r="A24" s="733" t="s">
        <v>1722</v>
      </c>
      <c r="B24" s="631">
        <v>20</v>
      </c>
      <c r="C24" s="631">
        <v>0.3</v>
      </c>
      <c r="D24" s="1067">
        <f t="shared" si="9"/>
        <v>6</v>
      </c>
      <c r="E24" s="625"/>
      <c r="F24" s="626">
        <f t="shared" si="2"/>
        <v>0</v>
      </c>
      <c r="G24" s="626">
        <f t="shared" si="3"/>
        <v>1</v>
      </c>
      <c r="H24" s="626">
        <f t="shared" si="7"/>
        <v>0</v>
      </c>
      <c r="I24" s="627">
        <f t="shared" si="4"/>
        <v>60</v>
      </c>
      <c r="J24" s="734">
        <v>0.01</v>
      </c>
      <c r="K24" s="918">
        <v>0.01</v>
      </c>
      <c r="L24" s="631"/>
      <c r="M24" s="632">
        <f t="shared" si="5"/>
        <v>0</v>
      </c>
      <c r="N24" s="918"/>
      <c r="O24" s="631"/>
      <c r="P24" s="627">
        <f t="shared" si="6"/>
        <v>0</v>
      </c>
      <c r="Q24" s="625"/>
      <c r="R24" s="734">
        <v>1</v>
      </c>
      <c r="S24" s="918">
        <v>1</v>
      </c>
      <c r="T24" s="631">
        <v>1</v>
      </c>
      <c r="U24" s="1434"/>
      <c r="V24" s="625" t="s">
        <v>1385</v>
      </c>
      <c r="W24" s="734"/>
      <c r="X24" s="918"/>
      <c r="Y24" s="631"/>
      <c r="Z24" s="625"/>
    </row>
    <row r="25" spans="1:26">
      <c r="A25" s="735" t="s">
        <v>1112</v>
      </c>
      <c r="B25" s="631">
        <v>0</v>
      </c>
      <c r="C25" s="631">
        <v>0</v>
      </c>
      <c r="D25" s="1067">
        <f t="shared" si="9"/>
        <v>0</v>
      </c>
      <c r="E25" s="625">
        <v>0</v>
      </c>
      <c r="F25" s="626">
        <f t="shared" ref="F25:F31" si="10">IFERROR(B25*((1-E25)/E25), )</f>
        <v>0</v>
      </c>
      <c r="G25" s="626">
        <f t="shared" ref="G25:G31" si="11">1-(O25/100)</f>
        <v>1</v>
      </c>
      <c r="H25" s="626">
        <f t="shared" ref="H25:H31" si="12">F25*G25</f>
        <v>0</v>
      </c>
      <c r="I25" s="627">
        <f t="shared" ref="I25:I31" si="13">K25*(D25*1000)</f>
        <v>0</v>
      </c>
      <c r="J25" s="734">
        <v>0</v>
      </c>
      <c r="K25" s="631">
        <v>0</v>
      </c>
      <c r="L25" s="631">
        <v>0</v>
      </c>
      <c r="M25" s="632">
        <f t="shared" si="5"/>
        <v>0</v>
      </c>
      <c r="N25" s="631">
        <v>0</v>
      </c>
      <c r="O25" s="631">
        <v>0</v>
      </c>
      <c r="P25" s="627">
        <f t="shared" ref="P25:P31" si="14">(N25*100)/(100-O25)</f>
        <v>0</v>
      </c>
      <c r="Q25" s="625">
        <v>0</v>
      </c>
      <c r="R25" s="734">
        <v>0</v>
      </c>
      <c r="S25" s="631">
        <v>0</v>
      </c>
      <c r="T25" s="631">
        <v>0</v>
      </c>
      <c r="U25" s="1434">
        <f>AVERAGE(R25:T25)</f>
        <v>0</v>
      </c>
      <c r="V25" s="625"/>
      <c r="W25" s="734"/>
      <c r="X25" s="631"/>
      <c r="Y25" s="631"/>
      <c r="Z25" s="625"/>
    </row>
    <row r="26" spans="1:26" s="917" customFormat="1">
      <c r="A26" s="738" t="s">
        <v>645</v>
      </c>
      <c r="B26" s="631">
        <v>2</v>
      </c>
      <c r="C26" s="631">
        <v>0.8</v>
      </c>
      <c r="D26" s="1067">
        <f t="shared" si="9"/>
        <v>1.6</v>
      </c>
      <c r="E26" s="625">
        <v>0.42</v>
      </c>
      <c r="F26" s="626">
        <f t="shared" si="10"/>
        <v>2.7619047619047623</v>
      </c>
      <c r="G26" s="626">
        <f t="shared" si="11"/>
        <v>0.87109999999999999</v>
      </c>
      <c r="H26" s="626">
        <f t="shared" si="12"/>
        <v>2.4058952380952383</v>
      </c>
      <c r="I26" s="627">
        <f t="shared" si="13"/>
        <v>9.6</v>
      </c>
      <c r="J26" s="734">
        <v>8.9999999999999993E-3</v>
      </c>
      <c r="K26" s="631">
        <v>6.0000000000000001E-3</v>
      </c>
      <c r="L26" s="631"/>
      <c r="M26" s="632">
        <f t="shared" si="5"/>
        <v>0</v>
      </c>
      <c r="N26" s="631">
        <v>360</v>
      </c>
      <c r="O26" s="631">
        <v>12.89</v>
      </c>
      <c r="P26" s="627">
        <f t="shared" si="14"/>
        <v>413.27057743083458</v>
      </c>
      <c r="Q26" s="625">
        <v>20450</v>
      </c>
      <c r="R26" s="734">
        <v>1.05</v>
      </c>
      <c r="S26" s="631">
        <v>1.2</v>
      </c>
      <c r="T26" s="631">
        <v>0.75</v>
      </c>
      <c r="U26" s="1434">
        <f>AVERAGE(R26:T26)</f>
        <v>1</v>
      </c>
      <c r="V26" s="625" t="s">
        <v>1858</v>
      </c>
      <c r="W26" s="734"/>
      <c r="X26" s="631"/>
      <c r="Y26" s="631"/>
      <c r="Z26" s="625"/>
    </row>
    <row r="27" spans="1:26">
      <c r="A27" s="630" t="s">
        <v>644</v>
      </c>
      <c r="B27" s="631">
        <v>4.3</v>
      </c>
      <c r="C27" s="631">
        <v>0.93</v>
      </c>
      <c r="D27" s="1067">
        <f t="shared" si="9"/>
        <v>3.9990000000000001</v>
      </c>
      <c r="E27" s="625">
        <v>0.3</v>
      </c>
      <c r="F27" s="626">
        <f t="shared" si="10"/>
        <v>10.033333333333333</v>
      </c>
      <c r="G27" s="626">
        <f t="shared" si="11"/>
        <v>0.876</v>
      </c>
      <c r="H27" s="626">
        <f t="shared" si="12"/>
        <v>8.7891999999999992</v>
      </c>
      <c r="I27" s="627">
        <f t="shared" si="13"/>
        <v>23.994</v>
      </c>
      <c r="J27" s="734">
        <v>0.02</v>
      </c>
      <c r="K27" s="631">
        <v>6.0000000000000001E-3</v>
      </c>
      <c r="L27" s="631">
        <v>0.05</v>
      </c>
      <c r="M27" s="632">
        <f t="shared" si="5"/>
        <v>0</v>
      </c>
      <c r="N27" s="631">
        <v>329</v>
      </c>
      <c r="O27" s="631">
        <v>12.4</v>
      </c>
      <c r="P27" s="627">
        <f t="shared" si="14"/>
        <v>375.57077625570781</v>
      </c>
      <c r="Q27" s="625">
        <v>20067</v>
      </c>
      <c r="R27" s="734">
        <v>0.1</v>
      </c>
      <c r="S27" s="631">
        <v>1.1000000000000001</v>
      </c>
      <c r="T27" s="631">
        <v>0.55000000000000004</v>
      </c>
      <c r="U27" s="1434">
        <f>AVERAGE(R27:T27)</f>
        <v>0.58333333333333337</v>
      </c>
      <c r="V27" s="625" t="s">
        <v>1858</v>
      </c>
      <c r="W27" s="734"/>
      <c r="X27" s="631"/>
      <c r="Y27" s="631"/>
      <c r="Z27" s="625"/>
    </row>
    <row r="28" spans="1:26">
      <c r="A28" s="630" t="s">
        <v>1108</v>
      </c>
      <c r="B28" s="631">
        <v>55</v>
      </c>
      <c r="C28" s="631">
        <v>0.2</v>
      </c>
      <c r="D28" s="1067">
        <f t="shared" si="9"/>
        <v>11</v>
      </c>
      <c r="E28" s="625"/>
      <c r="F28" s="626">
        <f t="shared" si="10"/>
        <v>0</v>
      </c>
      <c r="G28" s="626">
        <f t="shared" si="11"/>
        <v>0.31999999999999995</v>
      </c>
      <c r="H28" s="626">
        <f t="shared" si="12"/>
        <v>0</v>
      </c>
      <c r="I28" s="627">
        <f t="shared" si="13"/>
        <v>11</v>
      </c>
      <c r="J28" s="734">
        <v>1E-3</v>
      </c>
      <c r="K28" s="631">
        <v>1E-3</v>
      </c>
      <c r="L28" s="631">
        <v>0.17100000000000001</v>
      </c>
      <c r="M28" s="632">
        <f t="shared" si="5"/>
        <v>0</v>
      </c>
      <c r="N28" s="631"/>
      <c r="O28" s="631">
        <f>(1-0.32)*100</f>
        <v>68</v>
      </c>
      <c r="P28" s="627">
        <f t="shared" si="14"/>
        <v>0</v>
      </c>
      <c r="Q28" s="625"/>
      <c r="R28" s="734">
        <v>0.15</v>
      </c>
      <c r="S28" s="631">
        <v>1.2</v>
      </c>
      <c r="T28" s="631">
        <v>0.7</v>
      </c>
      <c r="U28" s="1436">
        <f>AVERAGE(R28:T28)</f>
        <v>0.68333333333333324</v>
      </c>
      <c r="V28" s="625"/>
      <c r="W28" s="734"/>
      <c r="X28" s="631"/>
      <c r="Y28" s="631"/>
      <c r="Z28" s="625"/>
    </row>
    <row r="29" spans="1:26">
      <c r="A29" s="630" t="s">
        <v>1695</v>
      </c>
      <c r="B29" s="631"/>
      <c r="C29" s="631">
        <v>0.24</v>
      </c>
      <c r="D29" s="1067">
        <f t="shared" si="9"/>
        <v>0</v>
      </c>
      <c r="E29" s="625"/>
      <c r="F29" s="626">
        <f t="shared" si="10"/>
        <v>0</v>
      </c>
      <c r="G29" s="626">
        <f t="shared" si="11"/>
        <v>1</v>
      </c>
      <c r="H29" s="626">
        <f t="shared" si="12"/>
        <v>0</v>
      </c>
      <c r="I29" s="627">
        <f t="shared" si="13"/>
        <v>0</v>
      </c>
      <c r="J29" s="734">
        <v>1.6E-2</v>
      </c>
      <c r="K29" s="631">
        <v>1.6E-2</v>
      </c>
      <c r="L29" s="631"/>
      <c r="M29" s="632">
        <f t="shared" si="5"/>
        <v>0</v>
      </c>
      <c r="N29" s="631"/>
      <c r="O29" s="631"/>
      <c r="P29" s="627">
        <f t="shared" si="14"/>
        <v>0</v>
      </c>
      <c r="Q29" s="625"/>
      <c r="R29" s="734">
        <v>0.3</v>
      </c>
      <c r="S29" s="631">
        <v>0.75</v>
      </c>
      <c r="T29" s="631">
        <v>0.75</v>
      </c>
      <c r="U29" s="1436">
        <v>0.6</v>
      </c>
      <c r="V29" s="625" t="s">
        <v>1385</v>
      </c>
      <c r="W29" s="734"/>
      <c r="X29" s="631"/>
      <c r="Y29" s="631"/>
      <c r="Z29" s="625"/>
    </row>
    <row r="30" spans="1:26">
      <c r="A30" s="630" t="s">
        <v>1855</v>
      </c>
      <c r="B30" s="629">
        <v>90</v>
      </c>
      <c r="C30" s="629">
        <v>0.22</v>
      </c>
      <c r="D30" s="1067">
        <f t="shared" si="9"/>
        <v>19.8</v>
      </c>
      <c r="E30" s="625">
        <v>0.9</v>
      </c>
      <c r="F30" s="626">
        <f t="shared" si="10"/>
        <v>9.9999999999999964</v>
      </c>
      <c r="G30" s="626">
        <f t="shared" si="11"/>
        <v>1</v>
      </c>
      <c r="H30" s="626">
        <f t="shared" si="12"/>
        <v>9.9999999999999964</v>
      </c>
      <c r="I30" s="627">
        <f t="shared" si="13"/>
        <v>0</v>
      </c>
      <c r="J30" s="1433">
        <v>1.4080000000000002E-2</v>
      </c>
      <c r="K30" s="1068">
        <v>0</v>
      </c>
      <c r="L30" s="1068">
        <v>0.01</v>
      </c>
      <c r="M30" s="632">
        <f t="shared" si="5"/>
        <v>0</v>
      </c>
      <c r="N30" s="1069"/>
      <c r="O30" s="631"/>
      <c r="P30" s="627">
        <f t="shared" si="14"/>
        <v>0</v>
      </c>
      <c r="Q30" s="1070"/>
      <c r="R30" s="1071">
        <v>0.6</v>
      </c>
      <c r="S30" s="1072">
        <v>1.1000000000000001</v>
      </c>
      <c r="T30" s="1072">
        <v>1.05</v>
      </c>
      <c r="U30" s="1434">
        <f t="shared" ref="U30:U43" si="15">AVERAGE(R30:T30)</f>
        <v>0.91666666666666663</v>
      </c>
      <c r="V30" s="1070" t="s">
        <v>1385</v>
      </c>
      <c r="W30" s="734"/>
      <c r="X30" s="631"/>
      <c r="Y30" s="631"/>
      <c r="Z30" s="625"/>
    </row>
    <row r="31" spans="1:26">
      <c r="A31" s="630" t="s">
        <v>1107</v>
      </c>
      <c r="B31" s="629">
        <v>54</v>
      </c>
      <c r="C31" s="629">
        <v>0.25</v>
      </c>
      <c r="D31" s="1067">
        <f t="shared" si="9"/>
        <v>13.5</v>
      </c>
      <c r="E31" s="625">
        <v>0.9</v>
      </c>
      <c r="F31" s="626">
        <f t="shared" si="10"/>
        <v>5.9999999999999982</v>
      </c>
      <c r="G31" s="626">
        <f t="shared" si="11"/>
        <v>1</v>
      </c>
      <c r="H31" s="626">
        <f t="shared" si="12"/>
        <v>5.9999999999999982</v>
      </c>
      <c r="I31" s="627">
        <f t="shared" si="13"/>
        <v>0</v>
      </c>
      <c r="J31" s="1433">
        <v>1.44E-2</v>
      </c>
      <c r="K31" s="1068">
        <v>0</v>
      </c>
      <c r="L31" s="1068">
        <v>0.01</v>
      </c>
      <c r="M31" s="632">
        <f t="shared" si="5"/>
        <v>0</v>
      </c>
      <c r="N31" s="1069"/>
      <c r="O31" s="631"/>
      <c r="P31" s="627">
        <f t="shared" si="14"/>
        <v>0</v>
      </c>
      <c r="Q31" s="1070"/>
      <c r="R31" s="1071">
        <v>0.6</v>
      </c>
      <c r="S31" s="1072">
        <v>1.1000000000000001</v>
      </c>
      <c r="T31" s="1072">
        <v>1.05</v>
      </c>
      <c r="U31" s="1434">
        <f t="shared" si="15"/>
        <v>0.91666666666666663</v>
      </c>
      <c r="V31" s="1070" t="s">
        <v>1385</v>
      </c>
      <c r="W31" s="734"/>
      <c r="X31" s="631"/>
      <c r="Y31" s="631"/>
      <c r="Z31" s="625"/>
    </row>
    <row r="32" spans="1:26">
      <c r="A32" s="630"/>
      <c r="B32" s="631"/>
      <c r="C32" s="631"/>
      <c r="D32" s="1067">
        <f t="shared" ref="D32:D39" si="16">B32*C32</f>
        <v>0</v>
      </c>
      <c r="E32" s="625"/>
      <c r="F32" s="626">
        <f t="shared" ref="F32:F33" si="17">IFERROR(B32*((1-E32)/E32), )</f>
        <v>0</v>
      </c>
      <c r="G32" s="626">
        <f t="shared" ref="G32:G33" si="18">1-(O32/100)</f>
        <v>1</v>
      </c>
      <c r="H32" s="626">
        <f t="shared" ref="H32:H33" si="19">F32*G32</f>
        <v>0</v>
      </c>
      <c r="I32" s="627">
        <f t="shared" ref="I32:I33" si="20">K32*(D32*1000)</f>
        <v>0</v>
      </c>
      <c r="J32" s="734"/>
      <c r="K32" s="631"/>
      <c r="L32" s="631"/>
      <c r="M32" s="632">
        <f t="shared" si="5"/>
        <v>0</v>
      </c>
      <c r="N32" s="631"/>
      <c r="O32" s="631"/>
      <c r="P32" s="627">
        <f t="shared" ref="P32:P33" si="21">(N32*100)/(100-O32)</f>
        <v>0</v>
      </c>
      <c r="Q32" s="625"/>
      <c r="R32" s="734"/>
      <c r="S32" s="631"/>
      <c r="T32" s="631"/>
      <c r="U32" s="1434" t="e">
        <f t="shared" si="15"/>
        <v>#DIV/0!</v>
      </c>
      <c r="V32" s="625"/>
      <c r="W32" s="734"/>
      <c r="X32" s="631"/>
      <c r="Y32" s="631"/>
      <c r="Z32" s="625"/>
    </row>
    <row r="33" spans="1:26">
      <c r="A33" s="630"/>
      <c r="B33" s="629"/>
      <c r="C33" s="629"/>
      <c r="D33" s="1067">
        <f t="shared" si="16"/>
        <v>0</v>
      </c>
      <c r="E33" s="625"/>
      <c r="F33" s="626">
        <f t="shared" si="17"/>
        <v>0</v>
      </c>
      <c r="G33" s="626">
        <f t="shared" si="18"/>
        <v>1</v>
      </c>
      <c r="H33" s="626">
        <f t="shared" si="19"/>
        <v>0</v>
      </c>
      <c r="I33" s="627">
        <f t="shared" si="20"/>
        <v>0</v>
      </c>
      <c r="J33" s="1433"/>
      <c r="K33" s="1068"/>
      <c r="L33" s="1068"/>
      <c r="M33" s="632">
        <f t="shared" si="5"/>
        <v>0</v>
      </c>
      <c r="N33" s="1069"/>
      <c r="O33" s="631"/>
      <c r="P33" s="627">
        <f t="shared" si="21"/>
        <v>0</v>
      </c>
      <c r="Q33" s="1070"/>
      <c r="R33" s="1071"/>
      <c r="S33" s="1072"/>
      <c r="T33" s="1072"/>
      <c r="U33" s="1434" t="e">
        <f t="shared" si="15"/>
        <v>#DIV/0!</v>
      </c>
      <c r="V33" s="1070"/>
      <c r="W33" s="734"/>
      <c r="X33" s="631"/>
      <c r="Y33" s="631"/>
      <c r="Z33" s="625"/>
    </row>
    <row r="34" spans="1:26">
      <c r="A34" s="630"/>
      <c r="B34" s="629"/>
      <c r="C34" s="629"/>
      <c r="D34" s="1067">
        <f t="shared" si="16"/>
        <v>0</v>
      </c>
      <c r="E34" s="625"/>
      <c r="F34" s="626">
        <f t="shared" si="2"/>
        <v>0</v>
      </c>
      <c r="G34" s="626">
        <f t="shared" si="3"/>
        <v>1</v>
      </c>
      <c r="H34" s="626">
        <f t="shared" si="7"/>
        <v>0</v>
      </c>
      <c r="I34" s="627">
        <f t="shared" si="4"/>
        <v>0</v>
      </c>
      <c r="J34" s="1433"/>
      <c r="K34" s="1068"/>
      <c r="L34" s="1068"/>
      <c r="M34" s="632">
        <f t="shared" si="5"/>
        <v>0</v>
      </c>
      <c r="N34" s="1069"/>
      <c r="O34" s="631"/>
      <c r="P34" s="627">
        <f t="shared" si="6"/>
        <v>0</v>
      </c>
      <c r="Q34" s="1070"/>
      <c r="R34" s="1071"/>
      <c r="S34" s="1072"/>
      <c r="T34" s="1072"/>
      <c r="U34" s="1434" t="e">
        <f t="shared" si="15"/>
        <v>#DIV/0!</v>
      </c>
      <c r="V34" s="1070"/>
      <c r="W34" s="734"/>
      <c r="X34" s="631"/>
      <c r="Y34" s="631"/>
      <c r="Z34" s="625"/>
    </row>
    <row r="35" spans="1:26">
      <c r="A35" s="630"/>
      <c r="B35" s="631"/>
      <c r="C35" s="631"/>
      <c r="D35" s="1067">
        <f t="shared" si="16"/>
        <v>0</v>
      </c>
      <c r="E35" s="625"/>
      <c r="F35" s="626">
        <f t="shared" si="2"/>
        <v>0</v>
      </c>
      <c r="G35" s="626">
        <f t="shared" si="3"/>
        <v>1</v>
      </c>
      <c r="H35" s="626">
        <f>F35*G35</f>
        <v>0</v>
      </c>
      <c r="I35" s="627">
        <f t="shared" si="4"/>
        <v>0</v>
      </c>
      <c r="J35" s="734"/>
      <c r="K35" s="631"/>
      <c r="L35" s="631"/>
      <c r="M35" s="632">
        <f t="shared" si="5"/>
        <v>0</v>
      </c>
      <c r="N35" s="631"/>
      <c r="O35" s="631"/>
      <c r="P35" s="627">
        <f t="shared" si="6"/>
        <v>0</v>
      </c>
      <c r="Q35" s="625"/>
      <c r="R35" s="734"/>
      <c r="S35" s="631"/>
      <c r="T35" s="631"/>
      <c r="U35" s="1434" t="e">
        <f t="shared" si="15"/>
        <v>#DIV/0!</v>
      </c>
      <c r="V35" s="625"/>
      <c r="W35" s="734"/>
      <c r="X35" s="631"/>
      <c r="Y35" s="631"/>
      <c r="Z35" s="625"/>
    </row>
    <row r="36" spans="1:26">
      <c r="A36" s="630"/>
      <c r="B36" s="631"/>
      <c r="C36" s="631"/>
      <c r="D36" s="1067">
        <f t="shared" si="16"/>
        <v>0</v>
      </c>
      <c r="E36" s="625"/>
      <c r="F36" s="626">
        <f t="shared" si="2"/>
        <v>0</v>
      </c>
      <c r="G36" s="626">
        <f t="shared" si="3"/>
        <v>1</v>
      </c>
      <c r="H36" s="626">
        <f t="shared" si="7"/>
        <v>0</v>
      </c>
      <c r="I36" s="627">
        <f t="shared" si="4"/>
        <v>0</v>
      </c>
      <c r="J36" s="734"/>
      <c r="K36" s="631"/>
      <c r="L36" s="631"/>
      <c r="M36" s="632">
        <f t="shared" si="5"/>
        <v>0</v>
      </c>
      <c r="N36" s="631"/>
      <c r="O36" s="631"/>
      <c r="P36" s="627">
        <f t="shared" si="6"/>
        <v>0</v>
      </c>
      <c r="Q36" s="625"/>
      <c r="R36" s="734"/>
      <c r="S36" s="631"/>
      <c r="T36" s="631"/>
      <c r="U36" s="1434" t="e">
        <f t="shared" si="15"/>
        <v>#DIV/0!</v>
      </c>
      <c r="V36" s="625"/>
      <c r="W36" s="734"/>
      <c r="X36" s="631"/>
      <c r="Y36" s="631"/>
      <c r="Z36" s="625"/>
    </row>
    <row r="37" spans="1:26" s="917" customFormat="1">
      <c r="A37" s="630"/>
      <c r="B37" s="631"/>
      <c r="C37" s="631"/>
      <c r="D37" s="1067">
        <f t="shared" si="16"/>
        <v>0</v>
      </c>
      <c r="E37" s="625"/>
      <c r="F37" s="626">
        <f t="shared" si="2"/>
        <v>0</v>
      </c>
      <c r="G37" s="626">
        <f t="shared" si="3"/>
        <v>1</v>
      </c>
      <c r="H37" s="626">
        <f t="shared" si="7"/>
        <v>0</v>
      </c>
      <c r="I37" s="627">
        <f t="shared" si="4"/>
        <v>0</v>
      </c>
      <c r="J37" s="734"/>
      <c r="K37" s="631"/>
      <c r="L37" s="631"/>
      <c r="M37" s="632">
        <f t="shared" si="5"/>
        <v>0</v>
      </c>
      <c r="N37" s="631"/>
      <c r="O37" s="631"/>
      <c r="P37" s="627">
        <f t="shared" si="6"/>
        <v>0</v>
      </c>
      <c r="Q37" s="625"/>
      <c r="R37" s="734"/>
      <c r="S37" s="631"/>
      <c r="T37" s="631"/>
      <c r="U37" s="1434" t="e">
        <f t="shared" si="15"/>
        <v>#DIV/0!</v>
      </c>
      <c r="V37" s="625"/>
      <c r="W37" s="734"/>
      <c r="X37" s="631"/>
      <c r="Y37" s="631"/>
      <c r="Z37" s="625"/>
    </row>
    <row r="38" spans="1:26">
      <c r="A38" s="630"/>
      <c r="B38" s="631"/>
      <c r="C38" s="631"/>
      <c r="D38" s="1067">
        <f t="shared" si="16"/>
        <v>0</v>
      </c>
      <c r="E38" s="625"/>
      <c r="F38" s="626">
        <f t="shared" si="2"/>
        <v>0</v>
      </c>
      <c r="G38" s="626">
        <f t="shared" si="3"/>
        <v>1</v>
      </c>
      <c r="H38" s="626">
        <f t="shared" si="7"/>
        <v>0</v>
      </c>
      <c r="I38" s="627">
        <f t="shared" si="4"/>
        <v>0</v>
      </c>
      <c r="J38" s="734"/>
      <c r="K38" s="631"/>
      <c r="L38" s="631"/>
      <c r="M38" s="632">
        <f t="shared" si="5"/>
        <v>0</v>
      </c>
      <c r="N38" s="631"/>
      <c r="O38" s="631"/>
      <c r="P38" s="627">
        <f t="shared" si="6"/>
        <v>0</v>
      </c>
      <c r="Q38" s="625"/>
      <c r="R38" s="734"/>
      <c r="S38" s="631"/>
      <c r="T38" s="631"/>
      <c r="U38" s="1434" t="e">
        <f t="shared" si="15"/>
        <v>#DIV/0!</v>
      </c>
      <c r="V38" s="625"/>
      <c r="W38" s="734"/>
      <c r="X38" s="631"/>
      <c r="Y38" s="631"/>
      <c r="Z38" s="625"/>
    </row>
    <row r="39" spans="1:26">
      <c r="A39" s="630"/>
      <c r="B39" s="631"/>
      <c r="C39" s="631"/>
      <c r="D39" s="1067">
        <f t="shared" si="16"/>
        <v>0</v>
      </c>
      <c r="E39" s="625"/>
      <c r="F39" s="626">
        <f t="shared" si="2"/>
        <v>0</v>
      </c>
      <c r="G39" s="626">
        <f t="shared" si="3"/>
        <v>1</v>
      </c>
      <c r="H39" s="626">
        <f t="shared" si="7"/>
        <v>0</v>
      </c>
      <c r="I39" s="627">
        <f t="shared" si="4"/>
        <v>0</v>
      </c>
      <c r="J39" s="734"/>
      <c r="K39" s="631"/>
      <c r="L39" s="631"/>
      <c r="M39" s="632">
        <f t="shared" si="5"/>
        <v>0</v>
      </c>
      <c r="N39" s="631"/>
      <c r="O39" s="631"/>
      <c r="P39" s="627">
        <f t="shared" si="6"/>
        <v>0</v>
      </c>
      <c r="Q39" s="625"/>
      <c r="R39" s="734"/>
      <c r="S39" s="631"/>
      <c r="T39" s="631"/>
      <c r="U39" s="1434" t="e">
        <f t="shared" si="15"/>
        <v>#DIV/0!</v>
      </c>
      <c r="V39" s="625"/>
      <c r="W39" s="734"/>
      <c r="X39" s="631"/>
      <c r="Y39" s="631"/>
      <c r="Z39" s="625"/>
    </row>
    <row r="40" spans="1:26">
      <c r="A40" s="630"/>
      <c r="B40" s="631"/>
      <c r="C40" s="631"/>
      <c r="D40" s="1067">
        <f t="shared" ref="D40:D43" si="22">B40*C40</f>
        <v>0</v>
      </c>
      <c r="E40" s="625"/>
      <c r="F40" s="626">
        <f t="shared" si="2"/>
        <v>0</v>
      </c>
      <c r="G40" s="626">
        <f t="shared" si="3"/>
        <v>1</v>
      </c>
      <c r="H40" s="626">
        <f t="shared" si="7"/>
        <v>0</v>
      </c>
      <c r="I40" s="627">
        <f t="shared" si="4"/>
        <v>0</v>
      </c>
      <c r="J40" s="734"/>
      <c r="K40" s="631"/>
      <c r="L40" s="631"/>
      <c r="M40" s="632">
        <f t="shared" si="5"/>
        <v>0</v>
      </c>
      <c r="N40" s="631"/>
      <c r="O40" s="631"/>
      <c r="P40" s="627">
        <f t="shared" si="6"/>
        <v>0</v>
      </c>
      <c r="Q40" s="625"/>
      <c r="R40" s="734"/>
      <c r="S40" s="631"/>
      <c r="T40" s="631"/>
      <c r="U40" s="1434" t="e">
        <f t="shared" si="15"/>
        <v>#DIV/0!</v>
      </c>
      <c r="V40" s="625"/>
      <c r="W40" s="734"/>
      <c r="X40" s="631"/>
      <c r="Y40" s="631"/>
      <c r="Z40" s="625"/>
    </row>
    <row r="41" spans="1:26">
      <c r="A41" s="630"/>
      <c r="B41" s="631"/>
      <c r="C41" s="631"/>
      <c r="D41" s="1067">
        <f t="shared" si="22"/>
        <v>0</v>
      </c>
      <c r="E41" s="625"/>
      <c r="F41" s="626">
        <f t="shared" si="2"/>
        <v>0</v>
      </c>
      <c r="G41" s="626">
        <f t="shared" si="3"/>
        <v>1</v>
      </c>
      <c r="H41" s="626">
        <f t="shared" si="7"/>
        <v>0</v>
      </c>
      <c r="I41" s="627">
        <f t="shared" si="4"/>
        <v>0</v>
      </c>
      <c r="J41" s="734"/>
      <c r="K41" s="631"/>
      <c r="L41" s="631"/>
      <c r="M41" s="632">
        <f t="shared" si="5"/>
        <v>0</v>
      </c>
      <c r="N41" s="631"/>
      <c r="O41" s="631"/>
      <c r="P41" s="627">
        <f t="shared" si="6"/>
        <v>0</v>
      </c>
      <c r="Q41" s="625"/>
      <c r="R41" s="734"/>
      <c r="S41" s="631"/>
      <c r="T41" s="631"/>
      <c r="U41" s="1434" t="e">
        <f t="shared" si="15"/>
        <v>#DIV/0!</v>
      </c>
      <c r="V41" s="625"/>
      <c r="W41" s="734"/>
      <c r="X41" s="631"/>
      <c r="Y41" s="631"/>
      <c r="Z41" s="625"/>
    </row>
    <row r="42" spans="1:26">
      <c r="A42" s="630"/>
      <c r="B42" s="631"/>
      <c r="C42" s="631"/>
      <c r="D42" s="1067">
        <f t="shared" si="22"/>
        <v>0</v>
      </c>
      <c r="E42" s="625"/>
      <c r="F42" s="626">
        <f t="shared" si="2"/>
        <v>0</v>
      </c>
      <c r="G42" s="626">
        <f t="shared" si="3"/>
        <v>1</v>
      </c>
      <c r="H42" s="626">
        <f>F42*G42</f>
        <v>0</v>
      </c>
      <c r="I42" s="627">
        <f t="shared" si="4"/>
        <v>0</v>
      </c>
      <c r="J42" s="734"/>
      <c r="K42" s="631"/>
      <c r="L42" s="631"/>
      <c r="M42" s="632">
        <f t="shared" si="5"/>
        <v>0</v>
      </c>
      <c r="N42" s="631"/>
      <c r="O42" s="631"/>
      <c r="P42" s="627">
        <f t="shared" si="6"/>
        <v>0</v>
      </c>
      <c r="Q42" s="625"/>
      <c r="R42" s="734"/>
      <c r="S42" s="631"/>
      <c r="T42" s="631"/>
      <c r="U42" s="1434" t="e">
        <f t="shared" si="15"/>
        <v>#DIV/0!</v>
      </c>
      <c r="V42" s="625"/>
      <c r="W42" s="734"/>
      <c r="X42" s="631"/>
      <c r="Y42" s="631"/>
      <c r="Z42" s="625"/>
    </row>
    <row r="43" spans="1:26">
      <c r="A43" s="630"/>
      <c r="B43" s="631"/>
      <c r="C43" s="631"/>
      <c r="D43" s="1067">
        <f t="shared" si="22"/>
        <v>0</v>
      </c>
      <c r="E43" s="625"/>
      <c r="F43" s="626">
        <f t="shared" si="2"/>
        <v>0</v>
      </c>
      <c r="G43" s="626">
        <f t="shared" si="3"/>
        <v>1</v>
      </c>
      <c r="H43" s="626">
        <f>F43*G43</f>
        <v>0</v>
      </c>
      <c r="I43" s="627">
        <f t="shared" si="4"/>
        <v>0</v>
      </c>
      <c r="J43" s="734"/>
      <c r="K43" s="631"/>
      <c r="L43" s="631"/>
      <c r="M43" s="632">
        <f t="shared" si="5"/>
        <v>0</v>
      </c>
      <c r="N43" s="631"/>
      <c r="O43" s="631"/>
      <c r="P43" s="627">
        <f t="shared" si="6"/>
        <v>0</v>
      </c>
      <c r="Q43" s="625"/>
      <c r="R43" s="734"/>
      <c r="S43" s="631"/>
      <c r="T43" s="631"/>
      <c r="U43" s="1434" t="e">
        <f t="shared" si="15"/>
        <v>#DIV/0!</v>
      </c>
      <c r="V43" s="625"/>
      <c r="W43" s="734"/>
      <c r="X43" s="631"/>
      <c r="Y43" s="631"/>
      <c r="Z43" s="625"/>
    </row>
    <row r="45" spans="1:26">
      <c r="A45" s="167" t="s">
        <v>1112</v>
      </c>
    </row>
    <row r="46" spans="1:26">
      <c r="A46" s="167" t="s">
        <v>1095</v>
      </c>
    </row>
    <row r="47" spans="1:26">
      <c r="A47" s="167" t="s">
        <v>1096</v>
      </c>
    </row>
    <row r="48" spans="1:26">
      <c r="B48" s="1101" t="s">
        <v>1858</v>
      </c>
    </row>
    <row r="49" spans="1:2">
      <c r="B49" s="1101" t="s">
        <v>1385</v>
      </c>
    </row>
    <row r="50" spans="1:2">
      <c r="B50" s="1101" t="s">
        <v>1760</v>
      </c>
    </row>
    <row r="51" spans="1:2">
      <c r="B51" s="1101" t="s">
        <v>1389</v>
      </c>
    </row>
    <row r="52" spans="1:2">
      <c r="B52" s="1101" t="s">
        <v>1859</v>
      </c>
    </row>
    <row r="53" spans="1:2">
      <c r="A53" s="314" t="s">
        <v>461</v>
      </c>
    </row>
    <row r="54" spans="1:2">
      <c r="A54" s="314" t="s">
        <v>637</v>
      </c>
    </row>
    <row r="55" spans="1:2">
      <c r="A55" s="162" t="s">
        <v>702</v>
      </c>
    </row>
  </sheetData>
  <autoFilter ref="A2:Z2"/>
  <sortState ref="A3:Z43">
    <sortCondition ref="A3"/>
  </sortState>
  <mergeCells count="1">
    <mergeCell ref="B1:D1"/>
  </mergeCells>
  <dataValidations count="2">
    <dataValidation type="list" allowBlank="1" showInputMessage="1" showErrorMessage="1" sqref="V4:V43">
      <formula1>$B$48:$B$52</formula1>
    </dataValidation>
    <dataValidation type="list" allowBlank="1" showInputMessage="1" showErrorMessage="1" sqref="V3">
      <formula1>$B$48:$B$53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40"/>
  <sheetViews>
    <sheetView zoomScale="70" zoomScaleNormal="70" workbookViewId="0">
      <selection activeCell="L4" sqref="L4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667" t="s">
        <v>1241</v>
      </c>
      <c r="B1" s="406" t="s">
        <v>916</v>
      </c>
      <c r="C1" s="406"/>
      <c r="D1" s="406"/>
      <c r="E1" s="406" t="s">
        <v>1337</v>
      </c>
      <c r="F1" s="406"/>
      <c r="G1" s="406"/>
      <c r="H1" s="406"/>
      <c r="I1" s="406"/>
    </row>
    <row r="2" spans="1:22" ht="94.5">
      <c r="A2" s="521" t="s">
        <v>811</v>
      </c>
      <c r="B2" s="628" t="s">
        <v>629</v>
      </c>
      <c r="C2" s="628" t="s">
        <v>915</v>
      </c>
      <c r="D2" s="628" t="s">
        <v>905</v>
      </c>
      <c r="E2" s="628" t="s">
        <v>1159</v>
      </c>
      <c r="F2" s="628" t="s">
        <v>1158</v>
      </c>
      <c r="G2" s="628" t="s">
        <v>816</v>
      </c>
      <c r="H2" s="396" t="s">
        <v>1104</v>
      </c>
      <c r="I2" s="628" t="s">
        <v>1105</v>
      </c>
      <c r="J2" s="927" t="s">
        <v>1714</v>
      </c>
      <c r="K2" s="927" t="s">
        <v>1715</v>
      </c>
      <c r="L2" s="927" t="s">
        <v>1716</v>
      </c>
      <c r="M2" s="927" t="s">
        <v>1717</v>
      </c>
      <c r="O2" s="668"/>
      <c r="P2" s="668"/>
      <c r="Q2" s="668"/>
    </row>
    <row r="3" spans="1:22" ht="16.5">
      <c r="A3" s="729" t="s">
        <v>1610</v>
      </c>
      <c r="B3" s="730">
        <v>27.800000000000004</v>
      </c>
      <c r="C3" s="730">
        <v>7.1</v>
      </c>
      <c r="D3" s="731">
        <f>C3*(0.01*B3)</f>
        <v>1.9738</v>
      </c>
      <c r="E3" s="730">
        <v>6.2547945205479456</v>
      </c>
      <c r="F3" s="1425">
        <f t="shared" ref="F3:F12" si="0">E3*B3/100</f>
        <v>1.7388328767123291</v>
      </c>
      <c r="G3" s="1066">
        <f t="shared" ref="G3:G12" si="1">C3*6.6/100</f>
        <v>0.46859999999999991</v>
      </c>
      <c r="H3" s="1429"/>
      <c r="I3" s="732" t="s">
        <v>1601</v>
      </c>
      <c r="J3" s="730">
        <v>300</v>
      </c>
      <c r="K3" s="730">
        <v>0</v>
      </c>
      <c r="L3" s="730">
        <v>18</v>
      </c>
      <c r="M3" s="730">
        <v>6</v>
      </c>
    </row>
    <row r="4" spans="1:22" ht="16.5">
      <c r="A4" s="922" t="s">
        <v>1769</v>
      </c>
      <c r="B4" s="726">
        <v>16</v>
      </c>
      <c r="C4" s="726">
        <v>10</v>
      </c>
      <c r="D4" s="731">
        <f>C4*(0.01*B4)</f>
        <v>1.6</v>
      </c>
      <c r="E4" s="726">
        <v>16.600000000000001</v>
      </c>
      <c r="F4" s="1425">
        <f t="shared" si="0"/>
        <v>2.6560000000000001</v>
      </c>
      <c r="G4" s="1426">
        <f t="shared" si="1"/>
        <v>0.66</v>
      </c>
      <c r="H4" s="1430"/>
      <c r="I4" s="923" t="s">
        <v>1768</v>
      </c>
      <c r="J4" s="726"/>
      <c r="K4" s="726"/>
      <c r="L4" s="726"/>
      <c r="M4" s="726"/>
    </row>
    <row r="5" spans="1:22" ht="16.5">
      <c r="A5" s="172" t="s">
        <v>1611</v>
      </c>
      <c r="B5" s="726">
        <v>30.3</v>
      </c>
      <c r="C5" s="726">
        <v>9.6715079999999993</v>
      </c>
      <c r="D5" s="731">
        <f>C5*(0.01*B5)</f>
        <v>2.9304669239999996</v>
      </c>
      <c r="E5" s="726">
        <v>12.6</v>
      </c>
      <c r="F5" s="1425">
        <f t="shared" si="0"/>
        <v>3.8177999999999996</v>
      </c>
      <c r="G5" s="1066">
        <f t="shared" si="1"/>
        <v>0.63831952799999991</v>
      </c>
      <c r="H5" s="1431"/>
      <c r="I5" s="727" t="s">
        <v>1709</v>
      </c>
      <c r="J5" s="726">
        <v>300</v>
      </c>
      <c r="K5" s="726">
        <v>0</v>
      </c>
      <c r="L5" s="726">
        <v>18</v>
      </c>
      <c r="M5" s="726">
        <v>6</v>
      </c>
      <c r="R5" s="360"/>
      <c r="S5" s="360"/>
      <c r="T5" s="360"/>
      <c r="U5" s="360"/>
    </row>
    <row r="6" spans="1:22" ht="16.5">
      <c r="A6" s="172" t="s">
        <v>1612</v>
      </c>
      <c r="B6" s="726">
        <v>93</v>
      </c>
      <c r="C6" s="726">
        <v>7.4106360000000002</v>
      </c>
      <c r="D6" s="731">
        <f t="shared" ref="D6:D69" si="2">C6*(0.01*B6)</f>
        <v>6.8918914800000008</v>
      </c>
      <c r="E6" s="726">
        <v>7.6</v>
      </c>
      <c r="F6" s="1425">
        <f t="shared" si="0"/>
        <v>7.0679999999999996</v>
      </c>
      <c r="G6" s="1066">
        <f t="shared" si="1"/>
        <v>0.48910197599999994</v>
      </c>
      <c r="H6" s="1431"/>
      <c r="I6" s="727" t="s">
        <v>1709</v>
      </c>
      <c r="J6" s="726">
        <v>300</v>
      </c>
      <c r="K6" s="726">
        <v>0</v>
      </c>
      <c r="L6" s="726">
        <v>18</v>
      </c>
      <c r="M6" s="726">
        <v>6</v>
      </c>
      <c r="S6" s="669"/>
      <c r="U6" s="669"/>
      <c r="V6" s="669"/>
    </row>
    <row r="7" spans="1:22" ht="16.5">
      <c r="A7" s="172" t="s">
        <v>1613</v>
      </c>
      <c r="B7" s="726">
        <v>26</v>
      </c>
      <c r="C7" s="726">
        <v>7.2547945205479447</v>
      </c>
      <c r="D7" s="731">
        <f t="shared" si="2"/>
        <v>1.8862465753424658</v>
      </c>
      <c r="E7" s="726">
        <v>7.2547945205479447</v>
      </c>
      <c r="F7" s="1425">
        <f t="shared" si="0"/>
        <v>1.8862465753424655</v>
      </c>
      <c r="G7" s="1066">
        <f t="shared" si="1"/>
        <v>0.47881643835616428</v>
      </c>
      <c r="H7" s="1431"/>
      <c r="I7" s="727" t="s">
        <v>1602</v>
      </c>
      <c r="J7" s="726">
        <v>350</v>
      </c>
      <c r="K7" s="726">
        <v>20</v>
      </c>
      <c r="L7" s="726">
        <v>31</v>
      </c>
      <c r="M7" s="726">
        <v>8</v>
      </c>
      <c r="S7" s="669"/>
      <c r="U7" s="669"/>
      <c r="V7" s="669"/>
    </row>
    <row r="8" spans="1:22">
      <c r="A8" s="172" t="s">
        <v>1227</v>
      </c>
      <c r="B8" s="726">
        <v>26</v>
      </c>
      <c r="C8" s="726">
        <v>7.2547945205479447</v>
      </c>
      <c r="D8" s="731">
        <f t="shared" si="2"/>
        <v>1.8862465753424658</v>
      </c>
      <c r="E8" s="726">
        <v>8.2547945205479447</v>
      </c>
      <c r="F8" s="1425">
        <f t="shared" si="0"/>
        <v>2.1462465753424653</v>
      </c>
      <c r="G8" s="1066">
        <f t="shared" si="1"/>
        <v>0.47881643835616428</v>
      </c>
      <c r="H8" s="1431"/>
      <c r="I8" s="172" t="s">
        <v>1141</v>
      </c>
      <c r="J8" s="726">
        <v>350</v>
      </c>
      <c r="K8" s="726">
        <v>20</v>
      </c>
      <c r="L8" s="726">
        <v>31</v>
      </c>
      <c r="M8" s="726">
        <v>8</v>
      </c>
      <c r="S8" s="669"/>
      <c r="U8" s="669"/>
      <c r="V8" s="669"/>
    </row>
    <row r="9" spans="1:22" ht="16.5">
      <c r="A9" s="172" t="s">
        <v>1614</v>
      </c>
      <c r="B9" s="726">
        <v>30</v>
      </c>
      <c r="C9" s="726">
        <v>12.1</v>
      </c>
      <c r="D9" s="731">
        <f t="shared" si="2"/>
        <v>3.63</v>
      </c>
      <c r="E9" s="726">
        <v>22</v>
      </c>
      <c r="F9" s="1425">
        <f t="shared" si="0"/>
        <v>6.6</v>
      </c>
      <c r="G9" s="1066">
        <f t="shared" si="1"/>
        <v>0.79859999999999998</v>
      </c>
      <c r="H9" s="1431"/>
      <c r="I9" s="727" t="s">
        <v>1603</v>
      </c>
      <c r="J9" s="726">
        <v>100</v>
      </c>
      <c r="K9" s="726">
        <v>100</v>
      </c>
      <c r="L9" s="726">
        <v>6</v>
      </c>
      <c r="M9" s="726">
        <v>6</v>
      </c>
      <c r="S9" s="669"/>
      <c r="U9" s="669"/>
      <c r="V9" s="669"/>
    </row>
    <row r="10" spans="1:22" ht="16.5">
      <c r="A10" s="172" t="s">
        <v>1615</v>
      </c>
      <c r="B10" s="726">
        <v>16.100000000000001</v>
      </c>
      <c r="C10" s="726">
        <v>10.006451999999999</v>
      </c>
      <c r="D10" s="731">
        <f t="shared" si="2"/>
        <v>1.6110387719999999</v>
      </c>
      <c r="E10" s="726">
        <v>19.940000000000001</v>
      </c>
      <c r="F10" s="1425">
        <f t="shared" si="0"/>
        <v>3.2103400000000004</v>
      </c>
      <c r="G10" s="1066">
        <f t="shared" si="1"/>
        <v>0.66042583199999993</v>
      </c>
      <c r="H10" s="1431"/>
      <c r="I10" s="727" t="s">
        <v>1604</v>
      </c>
      <c r="J10" s="726"/>
      <c r="K10" s="726"/>
      <c r="L10" s="726"/>
      <c r="M10" s="726"/>
      <c r="S10" s="669"/>
      <c r="U10" s="669"/>
      <c r="V10" s="669"/>
    </row>
    <row r="11" spans="1:22" ht="16.5">
      <c r="A11" s="172" t="s">
        <v>1616</v>
      </c>
      <c r="B11" s="726">
        <v>27.9</v>
      </c>
      <c r="C11" s="726">
        <v>4.3124000000000002</v>
      </c>
      <c r="D11" s="731">
        <f t="shared" si="2"/>
        <v>1.2031596</v>
      </c>
      <c r="E11" s="726">
        <v>5.45</v>
      </c>
      <c r="F11" s="1425">
        <f t="shared" si="0"/>
        <v>1.5205500000000001</v>
      </c>
      <c r="G11" s="1066">
        <f t="shared" si="1"/>
        <v>0.28461839999999999</v>
      </c>
      <c r="H11" s="1431"/>
      <c r="I11" s="727" t="s">
        <v>1604</v>
      </c>
      <c r="J11" s="726"/>
      <c r="K11" s="726"/>
      <c r="L11" s="726"/>
      <c r="M11" s="726"/>
      <c r="S11" s="669"/>
      <c r="U11" s="669"/>
      <c r="V11" s="669"/>
    </row>
    <row r="12" spans="1:22" ht="16.5">
      <c r="A12" s="172" t="s">
        <v>1617</v>
      </c>
      <c r="B12" s="726">
        <v>88.84</v>
      </c>
      <c r="C12" s="726">
        <v>10.76</v>
      </c>
      <c r="D12" s="731">
        <f t="shared" si="2"/>
        <v>9.5591840000000001</v>
      </c>
      <c r="E12" s="726">
        <v>1.81</v>
      </c>
      <c r="F12" s="1425">
        <f t="shared" si="0"/>
        <v>1.6080040000000002</v>
      </c>
      <c r="G12" s="1066">
        <f t="shared" si="1"/>
        <v>0.7101599999999999</v>
      </c>
      <c r="H12" s="1431"/>
      <c r="I12" s="727" t="s">
        <v>1604</v>
      </c>
      <c r="J12" s="726"/>
      <c r="K12" s="726"/>
      <c r="L12" s="726"/>
      <c r="M12" s="726"/>
      <c r="S12" s="669"/>
      <c r="U12" s="669"/>
      <c r="V12" s="669"/>
    </row>
    <row r="13" spans="1:22" ht="16.5">
      <c r="A13" s="172" t="s">
        <v>1618</v>
      </c>
      <c r="B13" s="726">
        <v>90</v>
      </c>
      <c r="C13" s="726">
        <v>12.1</v>
      </c>
      <c r="D13" s="731">
        <f t="shared" si="2"/>
        <v>10.89</v>
      </c>
      <c r="E13" s="726">
        <v>16</v>
      </c>
      <c r="F13" s="1425">
        <f t="shared" ref="F13:F20" si="3">E13*B13/100</f>
        <v>14.4</v>
      </c>
      <c r="G13" s="1066">
        <f t="shared" ref="G13:G20" si="4">C13*6.6/100</f>
        <v>0.79859999999999998</v>
      </c>
      <c r="H13" s="1431">
        <v>1</v>
      </c>
      <c r="I13" s="727" t="s">
        <v>1112</v>
      </c>
      <c r="J13" s="726">
        <v>0</v>
      </c>
      <c r="K13" s="726">
        <v>0</v>
      </c>
      <c r="L13" s="726">
        <v>0</v>
      </c>
      <c r="M13" s="726">
        <v>0</v>
      </c>
      <c r="S13" s="669"/>
      <c r="U13" s="669"/>
      <c r="V13" s="669"/>
    </row>
    <row r="14" spans="1:22" ht="16.5">
      <c r="A14" s="172" t="s">
        <v>802</v>
      </c>
      <c r="B14" s="726">
        <v>90</v>
      </c>
      <c r="C14" s="726">
        <v>9.8808480000000003</v>
      </c>
      <c r="D14" s="731">
        <f t="shared" si="2"/>
        <v>8.892763200000001</v>
      </c>
      <c r="E14" s="726">
        <v>18.399999999999999</v>
      </c>
      <c r="F14" s="1425">
        <f t="shared" si="3"/>
        <v>16.559999999999999</v>
      </c>
      <c r="G14" s="1066">
        <f t="shared" si="4"/>
        <v>0.65213596800000007</v>
      </c>
      <c r="H14" s="1431"/>
      <c r="I14" s="727" t="s">
        <v>986</v>
      </c>
      <c r="J14" s="726"/>
      <c r="K14" s="726"/>
      <c r="L14" s="726"/>
      <c r="M14" s="726"/>
      <c r="S14" s="669"/>
      <c r="U14" s="669"/>
      <c r="V14" s="669"/>
    </row>
    <row r="15" spans="1:22" ht="16.5">
      <c r="A15" s="172" t="s">
        <v>1619</v>
      </c>
      <c r="B15" s="726">
        <v>12.28</v>
      </c>
      <c r="C15" s="726">
        <v>10.45</v>
      </c>
      <c r="D15" s="731">
        <f t="shared" si="2"/>
        <v>1.2832599999999998</v>
      </c>
      <c r="E15" s="726">
        <v>20.56</v>
      </c>
      <c r="F15" s="1425">
        <f t="shared" si="3"/>
        <v>2.5247679999999999</v>
      </c>
      <c r="G15" s="1066">
        <f t="shared" si="4"/>
        <v>0.68969999999999987</v>
      </c>
      <c r="H15" s="1431"/>
      <c r="I15" s="727" t="s">
        <v>986</v>
      </c>
      <c r="J15" s="726">
        <v>100</v>
      </c>
      <c r="K15" s="726">
        <v>100</v>
      </c>
      <c r="L15" s="726">
        <v>6</v>
      </c>
      <c r="M15" s="726">
        <v>6</v>
      </c>
      <c r="S15" s="669"/>
      <c r="U15" s="669"/>
      <c r="V15" s="669"/>
    </row>
    <row r="16" spans="1:22" ht="16.5">
      <c r="A16" s="172" t="s">
        <v>803</v>
      </c>
      <c r="B16" s="726">
        <v>89.83</v>
      </c>
      <c r="C16" s="726">
        <v>13.21</v>
      </c>
      <c r="D16" s="731">
        <f t="shared" si="2"/>
        <v>11.866543</v>
      </c>
      <c r="E16" s="726">
        <v>23.88</v>
      </c>
      <c r="F16" s="1425">
        <f t="shared" si="3"/>
        <v>21.451403999999997</v>
      </c>
      <c r="G16" s="1066">
        <f t="shared" si="4"/>
        <v>0.87186000000000008</v>
      </c>
      <c r="H16" s="1431"/>
      <c r="I16" s="727" t="s">
        <v>986</v>
      </c>
      <c r="J16" s="726"/>
      <c r="K16" s="726"/>
      <c r="L16" s="726"/>
      <c r="M16" s="726"/>
      <c r="S16" s="669"/>
      <c r="U16" s="669"/>
      <c r="V16" s="669"/>
    </row>
    <row r="17" spans="1:22" ht="16.5">
      <c r="A17" s="172" t="s">
        <v>804</v>
      </c>
      <c r="B17" s="726">
        <v>90.17</v>
      </c>
      <c r="C17" s="726">
        <v>14</v>
      </c>
      <c r="D17" s="731">
        <f t="shared" si="2"/>
        <v>12.623800000000001</v>
      </c>
      <c r="E17" s="726">
        <v>22.53</v>
      </c>
      <c r="F17" s="1425">
        <f t="shared" si="3"/>
        <v>20.315301000000002</v>
      </c>
      <c r="G17" s="1066">
        <f t="shared" si="4"/>
        <v>0.92399999999999993</v>
      </c>
      <c r="H17" s="1431"/>
      <c r="I17" s="727" t="s">
        <v>986</v>
      </c>
      <c r="J17" s="726"/>
      <c r="K17" s="726"/>
      <c r="L17" s="726"/>
      <c r="M17" s="726"/>
      <c r="S17" s="669"/>
      <c r="U17" s="669"/>
      <c r="V17" s="669"/>
    </row>
    <row r="18" spans="1:22" ht="16.5">
      <c r="A18" s="13" t="s">
        <v>1620</v>
      </c>
      <c r="B18" s="728">
        <v>30</v>
      </c>
      <c r="C18" s="728">
        <v>9.4</v>
      </c>
      <c r="D18" s="731">
        <f t="shared" si="2"/>
        <v>2.82</v>
      </c>
      <c r="E18" s="728">
        <v>24</v>
      </c>
      <c r="F18" s="1427">
        <f t="shared" si="3"/>
        <v>7.2</v>
      </c>
      <c r="G18" s="1426">
        <f t="shared" si="4"/>
        <v>0.62039999999999995</v>
      </c>
      <c r="H18" s="1431"/>
      <c r="I18" s="727" t="s">
        <v>1605</v>
      </c>
      <c r="J18" s="728">
        <v>300</v>
      </c>
      <c r="K18" s="728">
        <v>0</v>
      </c>
      <c r="L18" s="728">
        <v>18</v>
      </c>
      <c r="M18" s="728">
        <v>6</v>
      </c>
      <c r="S18" s="669"/>
      <c r="U18" s="669"/>
      <c r="V18" s="669"/>
    </row>
    <row r="19" spans="1:22" ht="16.5">
      <c r="A19" s="922" t="s">
        <v>1718</v>
      </c>
      <c r="B19" s="726">
        <v>30.3</v>
      </c>
      <c r="C19" s="726">
        <v>9.6715079999999993</v>
      </c>
      <c r="D19" s="731">
        <f t="shared" si="2"/>
        <v>2.9304669239999996</v>
      </c>
      <c r="E19" s="726">
        <v>12.6</v>
      </c>
      <c r="F19" s="1066">
        <f t="shared" si="3"/>
        <v>3.8177999999999996</v>
      </c>
      <c r="G19" s="1066">
        <f t="shared" si="4"/>
        <v>0.63831952799999991</v>
      </c>
      <c r="H19" s="1430"/>
      <c r="I19" s="727" t="s">
        <v>1709</v>
      </c>
      <c r="J19" s="726">
        <v>50</v>
      </c>
      <c r="K19" s="726">
        <v>100</v>
      </c>
      <c r="L19" s="726">
        <v>6</v>
      </c>
      <c r="M19" s="726">
        <v>6</v>
      </c>
      <c r="S19" s="669"/>
      <c r="U19" s="669"/>
      <c r="V19" s="669"/>
    </row>
    <row r="20" spans="1:22" ht="16.5">
      <c r="A20" s="13" t="s">
        <v>1723</v>
      </c>
      <c r="B20" s="728">
        <v>33</v>
      </c>
      <c r="C20" s="728">
        <v>7.25</v>
      </c>
      <c r="D20" s="731">
        <f t="shared" si="2"/>
        <v>2.3925000000000001</v>
      </c>
      <c r="E20" s="728">
        <v>8</v>
      </c>
      <c r="F20" s="1427">
        <f t="shared" si="3"/>
        <v>2.64</v>
      </c>
      <c r="G20" s="1426">
        <f t="shared" si="4"/>
        <v>0.47849999999999993</v>
      </c>
      <c r="H20" s="1431"/>
      <c r="I20" s="727" t="s">
        <v>1682</v>
      </c>
      <c r="J20" s="728">
        <v>300</v>
      </c>
      <c r="K20" s="728">
        <v>0</v>
      </c>
      <c r="L20" s="728">
        <v>18</v>
      </c>
      <c r="M20" s="728">
        <v>6</v>
      </c>
      <c r="S20" s="669"/>
      <c r="U20" s="669"/>
      <c r="V20" s="669"/>
    </row>
    <row r="21" spans="1:22" ht="16.5">
      <c r="A21" s="922" t="s">
        <v>1705</v>
      </c>
      <c r="B21" s="726">
        <v>24</v>
      </c>
      <c r="C21" s="726">
        <v>9.6999999999999993</v>
      </c>
      <c r="D21" s="731">
        <f t="shared" si="2"/>
        <v>2.3279999999999998</v>
      </c>
      <c r="E21" s="726">
        <v>9.9</v>
      </c>
      <c r="F21" s="1426">
        <v>2.3760000000000003</v>
      </c>
      <c r="G21" s="1426">
        <v>0.64019999999999999</v>
      </c>
      <c r="H21" s="1430"/>
      <c r="I21" s="923" t="s">
        <v>1695</v>
      </c>
      <c r="J21" s="726">
        <v>350</v>
      </c>
      <c r="K21" s="726">
        <v>20</v>
      </c>
      <c r="L21" s="726">
        <v>31</v>
      </c>
      <c r="M21" s="726">
        <v>8</v>
      </c>
      <c r="S21" s="669"/>
      <c r="U21" s="669"/>
      <c r="V21" s="669"/>
    </row>
    <row r="22" spans="1:22" ht="16.5">
      <c r="A22" s="172" t="s">
        <v>1621</v>
      </c>
      <c r="B22" s="726">
        <v>30</v>
      </c>
      <c r="C22" s="726">
        <v>11.5</v>
      </c>
      <c r="D22" s="731">
        <f t="shared" si="2"/>
        <v>3.4499999999999997</v>
      </c>
      <c r="E22" s="726">
        <v>22.3</v>
      </c>
      <c r="F22" s="1425">
        <f t="shared" ref="F22:F53" si="5">E22*B22/100</f>
        <v>6.69</v>
      </c>
      <c r="G22" s="1066">
        <f t="shared" ref="G22:G53" si="6">C22*6.6/100</f>
        <v>0.7589999999999999</v>
      </c>
      <c r="H22" s="1431"/>
      <c r="I22" s="727" t="s">
        <v>1606</v>
      </c>
      <c r="J22" s="726">
        <v>50</v>
      </c>
      <c r="K22" s="726">
        <v>100</v>
      </c>
      <c r="L22" s="726">
        <v>6</v>
      </c>
      <c r="M22" s="726">
        <v>6</v>
      </c>
      <c r="S22" s="669"/>
      <c r="U22" s="669"/>
      <c r="V22" s="669"/>
    </row>
    <row r="23" spans="1:22" ht="16.5">
      <c r="A23" s="172" t="s">
        <v>805</v>
      </c>
      <c r="B23" s="726">
        <v>89.53</v>
      </c>
      <c r="C23" s="726">
        <v>7.99</v>
      </c>
      <c r="D23" s="731">
        <f t="shared" si="2"/>
        <v>7.1534469999999999</v>
      </c>
      <c r="E23" s="726">
        <v>6.52</v>
      </c>
      <c r="F23" s="1425">
        <f t="shared" si="5"/>
        <v>5.8373559999999998</v>
      </c>
      <c r="G23" s="1066">
        <f t="shared" si="6"/>
        <v>0.52734000000000003</v>
      </c>
      <c r="H23" s="1431"/>
      <c r="I23" s="727" t="s">
        <v>646</v>
      </c>
      <c r="J23" s="726"/>
      <c r="K23" s="726"/>
      <c r="L23" s="726"/>
      <c r="M23" s="726"/>
    </row>
    <row r="24" spans="1:22" ht="16.5">
      <c r="A24" s="172" t="s">
        <v>806</v>
      </c>
      <c r="B24" s="726">
        <v>92.7</v>
      </c>
      <c r="C24" s="726">
        <v>21.185199999999998</v>
      </c>
      <c r="D24" s="731">
        <f t="shared" si="2"/>
        <v>19.638680399999998</v>
      </c>
      <c r="E24" s="726">
        <v>33.200000000000003</v>
      </c>
      <c r="F24" s="1425">
        <f t="shared" si="5"/>
        <v>30.776400000000002</v>
      </c>
      <c r="G24" s="1066">
        <f t="shared" si="6"/>
        <v>1.3982231999999999</v>
      </c>
      <c r="H24" s="1431"/>
      <c r="I24" s="727" t="s">
        <v>646</v>
      </c>
      <c r="J24" s="726"/>
      <c r="K24" s="726"/>
      <c r="L24" s="726"/>
      <c r="M24" s="726"/>
    </row>
    <row r="25" spans="1:22" ht="16.5">
      <c r="A25" s="172" t="s">
        <v>807</v>
      </c>
      <c r="B25" s="726">
        <v>93.12</v>
      </c>
      <c r="C25" s="726">
        <v>6.56</v>
      </c>
      <c r="D25" s="731">
        <f t="shared" si="2"/>
        <v>6.1086719999999994</v>
      </c>
      <c r="E25" s="726">
        <v>16.29</v>
      </c>
      <c r="F25" s="1425">
        <f t="shared" si="5"/>
        <v>15.169248</v>
      </c>
      <c r="G25" s="1066">
        <f t="shared" si="6"/>
        <v>0.4329599999999999</v>
      </c>
      <c r="H25" s="1431"/>
      <c r="I25" s="727" t="s">
        <v>646</v>
      </c>
      <c r="J25" s="726"/>
      <c r="K25" s="726"/>
      <c r="L25" s="726"/>
      <c r="M25" s="726"/>
    </row>
    <row r="26" spans="1:22" ht="16.5">
      <c r="A26" s="172" t="s">
        <v>1681</v>
      </c>
      <c r="B26" s="726">
        <v>30</v>
      </c>
      <c r="C26" s="726">
        <v>11</v>
      </c>
      <c r="D26" s="731">
        <f t="shared" si="2"/>
        <v>3.3</v>
      </c>
      <c r="E26" s="726">
        <v>15</v>
      </c>
      <c r="F26" s="1425">
        <f t="shared" si="5"/>
        <v>4.5</v>
      </c>
      <c r="G26" s="1066">
        <f t="shared" si="6"/>
        <v>0.72599999999999998</v>
      </c>
      <c r="H26" s="1431"/>
      <c r="I26" s="727" t="s">
        <v>1680</v>
      </c>
      <c r="J26" s="726"/>
      <c r="K26" s="726"/>
      <c r="L26" s="726"/>
      <c r="M26" s="726"/>
    </row>
    <row r="27" spans="1:22" ht="16.5">
      <c r="A27" s="172" t="s">
        <v>1622</v>
      </c>
      <c r="B27" s="726">
        <v>26</v>
      </c>
      <c r="C27" s="726">
        <v>6.1293150684931508</v>
      </c>
      <c r="D27" s="731">
        <f t="shared" si="2"/>
        <v>1.5936219178082192</v>
      </c>
      <c r="E27" s="726">
        <v>6</v>
      </c>
      <c r="F27" s="1425">
        <f t="shared" si="5"/>
        <v>1.56</v>
      </c>
      <c r="G27" s="1066">
        <f t="shared" si="6"/>
        <v>0.40453479452054791</v>
      </c>
      <c r="H27" s="1431"/>
      <c r="I27" s="727" t="s">
        <v>1608</v>
      </c>
      <c r="J27" s="726">
        <v>300</v>
      </c>
      <c r="K27" s="726">
        <v>0</v>
      </c>
      <c r="L27" s="726">
        <v>18</v>
      </c>
      <c r="M27" s="726">
        <v>6</v>
      </c>
    </row>
    <row r="28" spans="1:22" ht="16.5">
      <c r="A28" s="172" t="s">
        <v>1692</v>
      </c>
      <c r="B28" s="726">
        <v>24</v>
      </c>
      <c r="C28" s="726">
        <v>6.0038356164383559</v>
      </c>
      <c r="D28" s="731">
        <f t="shared" si="2"/>
        <v>1.4409205479452054</v>
      </c>
      <c r="E28" s="726">
        <v>6</v>
      </c>
      <c r="F28" s="1425">
        <f t="shared" si="5"/>
        <v>1.44</v>
      </c>
      <c r="G28" s="1066">
        <f t="shared" si="6"/>
        <v>0.39625315068493144</v>
      </c>
      <c r="H28" s="1431"/>
      <c r="I28" s="727" t="s">
        <v>1691</v>
      </c>
      <c r="J28" s="726">
        <v>300</v>
      </c>
      <c r="K28" s="726">
        <v>0</v>
      </c>
      <c r="L28" s="726">
        <v>18</v>
      </c>
      <c r="M28" s="726">
        <v>6</v>
      </c>
    </row>
    <row r="29" spans="1:22" ht="16.5">
      <c r="A29" s="172" t="s">
        <v>1623</v>
      </c>
      <c r="B29" s="726">
        <v>18.3</v>
      </c>
      <c r="C29" s="726">
        <v>11.43</v>
      </c>
      <c r="D29" s="731">
        <f t="shared" si="2"/>
        <v>2.0916900000000003</v>
      </c>
      <c r="E29" s="726">
        <v>22.94</v>
      </c>
      <c r="F29" s="1425">
        <f t="shared" si="5"/>
        <v>4.1980200000000005</v>
      </c>
      <c r="G29" s="1066">
        <f t="shared" si="6"/>
        <v>0.75437999999999983</v>
      </c>
      <c r="H29" s="1431"/>
      <c r="I29" s="727" t="s">
        <v>1624</v>
      </c>
      <c r="J29" s="726">
        <v>100</v>
      </c>
      <c r="K29" s="726">
        <v>100</v>
      </c>
      <c r="L29" s="726">
        <v>6</v>
      </c>
      <c r="M29" s="726">
        <v>6</v>
      </c>
    </row>
    <row r="30" spans="1:22" ht="16.5">
      <c r="A30" s="172" t="s">
        <v>1242</v>
      </c>
      <c r="B30" s="726">
        <v>90</v>
      </c>
      <c r="C30" s="726">
        <v>9.2899999999999991</v>
      </c>
      <c r="D30" s="731">
        <f t="shared" si="2"/>
        <v>8.3609999999999989</v>
      </c>
      <c r="E30" s="726">
        <v>16.600000000000001</v>
      </c>
      <c r="F30" s="1425">
        <f t="shared" si="5"/>
        <v>14.940000000000003</v>
      </c>
      <c r="G30" s="1066">
        <f t="shared" si="6"/>
        <v>0.61313999999999991</v>
      </c>
      <c r="H30" s="1431"/>
      <c r="I30" s="727" t="s">
        <v>1624</v>
      </c>
      <c r="J30" s="726">
        <v>50</v>
      </c>
      <c r="K30" s="726">
        <v>50</v>
      </c>
      <c r="L30" s="726">
        <v>10</v>
      </c>
      <c r="M30" s="726">
        <v>10</v>
      </c>
    </row>
    <row r="31" spans="1:22" ht="16.5">
      <c r="A31" s="172" t="s">
        <v>1243</v>
      </c>
      <c r="B31" s="726">
        <v>27.83</v>
      </c>
      <c r="C31" s="726">
        <v>7.4400000000000013</v>
      </c>
      <c r="D31" s="731">
        <f t="shared" si="2"/>
        <v>2.0705520000000002</v>
      </c>
      <c r="E31" s="726">
        <v>17.510000000000002</v>
      </c>
      <c r="F31" s="1425">
        <f t="shared" si="5"/>
        <v>4.8730330000000004</v>
      </c>
      <c r="G31" s="1066">
        <f t="shared" si="6"/>
        <v>0.49104000000000009</v>
      </c>
      <c r="H31" s="1431"/>
      <c r="I31" s="727" t="s">
        <v>1624</v>
      </c>
      <c r="J31" s="726">
        <v>50</v>
      </c>
      <c r="K31" s="726">
        <v>50</v>
      </c>
      <c r="L31" s="726">
        <v>10</v>
      </c>
      <c r="M31" s="726">
        <v>10</v>
      </c>
    </row>
    <row r="32" spans="1:22" ht="16.5">
      <c r="A32" s="172" t="s">
        <v>1625</v>
      </c>
      <c r="B32" s="726">
        <v>26.2</v>
      </c>
      <c r="C32" s="726">
        <v>9.5</v>
      </c>
      <c r="D32" s="731">
        <f t="shared" si="2"/>
        <v>2.4889999999999999</v>
      </c>
      <c r="E32" s="726">
        <v>19.93</v>
      </c>
      <c r="F32" s="1425">
        <f t="shared" si="5"/>
        <v>5.2216599999999991</v>
      </c>
      <c r="G32" s="1066">
        <f t="shared" si="6"/>
        <v>0.627</v>
      </c>
      <c r="H32" s="1431"/>
      <c r="I32" s="727" t="s">
        <v>914</v>
      </c>
      <c r="J32" s="726">
        <v>50</v>
      </c>
      <c r="K32" s="726">
        <v>100</v>
      </c>
      <c r="L32" s="726">
        <v>6</v>
      </c>
      <c r="M32" s="726">
        <v>6</v>
      </c>
    </row>
    <row r="33" spans="1:13" ht="16.5">
      <c r="A33" s="172" t="s">
        <v>1492</v>
      </c>
      <c r="B33" s="726">
        <v>90.6</v>
      </c>
      <c r="C33" s="726">
        <v>9.0853560000000009</v>
      </c>
      <c r="D33" s="731">
        <f t="shared" si="2"/>
        <v>8.231332536</v>
      </c>
      <c r="E33" s="726">
        <v>18.600000000000001</v>
      </c>
      <c r="F33" s="1425">
        <f t="shared" si="5"/>
        <v>16.851600000000001</v>
      </c>
      <c r="G33" s="1066">
        <f t="shared" si="6"/>
        <v>0.59963349600000004</v>
      </c>
      <c r="H33" s="1431"/>
      <c r="I33" s="727" t="s">
        <v>1540</v>
      </c>
      <c r="J33" s="726"/>
      <c r="K33" s="726"/>
      <c r="L33" s="726"/>
      <c r="M33" s="726"/>
    </row>
    <row r="34" spans="1:13" ht="16.5">
      <c r="A34" s="172" t="s">
        <v>1493</v>
      </c>
      <c r="B34" s="726">
        <v>91.7</v>
      </c>
      <c r="C34" s="726">
        <v>9.3784320000000001</v>
      </c>
      <c r="D34" s="731">
        <f t="shared" si="2"/>
        <v>8.6000221440000004</v>
      </c>
      <c r="E34" s="726">
        <v>18.899999999999999</v>
      </c>
      <c r="F34" s="1425">
        <f t="shared" si="5"/>
        <v>17.331299999999999</v>
      </c>
      <c r="G34" s="1066">
        <f t="shared" si="6"/>
        <v>0.61897651200000003</v>
      </c>
      <c r="H34" s="1431"/>
      <c r="I34" s="727" t="s">
        <v>1540</v>
      </c>
      <c r="J34" s="726"/>
      <c r="K34" s="726"/>
      <c r="L34" s="726"/>
      <c r="M34" s="726"/>
    </row>
    <row r="35" spans="1:13" ht="16.5">
      <c r="A35" s="172" t="s">
        <v>1494</v>
      </c>
      <c r="B35" s="726">
        <v>44.1</v>
      </c>
      <c r="C35" s="726">
        <v>9.5459040000000002</v>
      </c>
      <c r="D35" s="731">
        <f t="shared" si="2"/>
        <v>4.2097436640000003</v>
      </c>
      <c r="E35" s="726">
        <v>19.5</v>
      </c>
      <c r="F35" s="1425">
        <f t="shared" si="5"/>
        <v>8.5995000000000008</v>
      </c>
      <c r="G35" s="1066">
        <f t="shared" si="6"/>
        <v>0.63002966399999993</v>
      </c>
      <c r="H35" s="1431"/>
      <c r="I35" s="727" t="s">
        <v>1540</v>
      </c>
      <c r="J35" s="726"/>
      <c r="K35" s="726"/>
      <c r="L35" s="726"/>
      <c r="M35" s="726"/>
    </row>
    <row r="36" spans="1:13" ht="16.5">
      <c r="A36" s="172" t="s">
        <v>1495</v>
      </c>
      <c r="B36" s="726">
        <v>93.85</v>
      </c>
      <c r="C36" s="726">
        <v>5.57</v>
      </c>
      <c r="D36" s="731">
        <f t="shared" si="2"/>
        <v>5.2274450000000003</v>
      </c>
      <c r="E36" s="726">
        <v>6.44</v>
      </c>
      <c r="F36" s="1425">
        <f t="shared" si="5"/>
        <v>6.0439400000000001</v>
      </c>
      <c r="G36" s="1066">
        <f t="shared" si="6"/>
        <v>0.36762</v>
      </c>
      <c r="H36" s="1431"/>
      <c r="I36" s="727" t="s">
        <v>1541</v>
      </c>
      <c r="J36" s="726"/>
      <c r="K36" s="726"/>
      <c r="L36" s="726"/>
      <c r="M36" s="726"/>
    </row>
    <row r="37" spans="1:13" ht="16.5">
      <c r="A37" s="172" t="s">
        <v>1496</v>
      </c>
      <c r="B37" s="726">
        <v>90</v>
      </c>
      <c r="C37" s="726">
        <v>19</v>
      </c>
      <c r="D37" s="731">
        <f t="shared" si="2"/>
        <v>17.100000000000001</v>
      </c>
      <c r="E37" s="726">
        <v>30</v>
      </c>
      <c r="F37" s="1425">
        <f t="shared" si="5"/>
        <v>27</v>
      </c>
      <c r="G37" s="1066">
        <f t="shared" si="6"/>
        <v>1.254</v>
      </c>
      <c r="H37" s="1431"/>
      <c r="I37" s="727" t="s">
        <v>1541</v>
      </c>
      <c r="J37" s="726"/>
      <c r="K37" s="726"/>
      <c r="L37" s="726"/>
      <c r="M37" s="726"/>
    </row>
    <row r="38" spans="1:13" ht="16.5">
      <c r="A38" s="172" t="s">
        <v>1497</v>
      </c>
      <c r="B38" s="726">
        <v>91.89</v>
      </c>
      <c r="C38" s="726">
        <v>7.36</v>
      </c>
      <c r="D38" s="731">
        <f t="shared" si="2"/>
        <v>6.7631040000000002</v>
      </c>
      <c r="E38" s="726">
        <v>5.54</v>
      </c>
      <c r="F38" s="1425">
        <f t="shared" si="5"/>
        <v>5.090706</v>
      </c>
      <c r="G38" s="1066">
        <f t="shared" si="6"/>
        <v>0.48576000000000003</v>
      </c>
      <c r="H38" s="1431"/>
      <c r="I38" s="727" t="s">
        <v>1541</v>
      </c>
      <c r="J38" s="726"/>
      <c r="K38" s="726"/>
      <c r="L38" s="726"/>
      <c r="M38" s="726"/>
    </row>
    <row r="39" spans="1:13" ht="16.5">
      <c r="A39" s="172" t="s">
        <v>1698</v>
      </c>
      <c r="B39" s="726">
        <v>87</v>
      </c>
      <c r="C39" s="726">
        <v>9.127224</v>
      </c>
      <c r="D39" s="731">
        <f t="shared" si="2"/>
        <v>7.9406848800000001</v>
      </c>
      <c r="E39" s="726">
        <v>5.9</v>
      </c>
      <c r="F39" s="1425">
        <f t="shared" si="5"/>
        <v>5.1330000000000009</v>
      </c>
      <c r="G39" s="1066">
        <f t="shared" si="6"/>
        <v>0.60239678399999996</v>
      </c>
      <c r="H39" s="1431"/>
      <c r="I39" s="727" t="s">
        <v>1112</v>
      </c>
      <c r="J39" s="726"/>
      <c r="K39" s="726"/>
      <c r="L39" s="726"/>
      <c r="M39" s="726"/>
    </row>
    <row r="40" spans="1:13" ht="16.5">
      <c r="A40" s="172" t="s">
        <v>1498</v>
      </c>
      <c r="B40" s="726">
        <v>90.1</v>
      </c>
      <c r="C40" s="726">
        <v>7.5781080000000003</v>
      </c>
      <c r="D40" s="731">
        <f t="shared" si="2"/>
        <v>6.8278753079999994</v>
      </c>
      <c r="E40" s="726">
        <v>2.8</v>
      </c>
      <c r="F40" s="1425">
        <f t="shared" si="5"/>
        <v>2.5227999999999997</v>
      </c>
      <c r="G40" s="1426">
        <f t="shared" si="6"/>
        <v>0.50015512799999995</v>
      </c>
      <c r="H40" s="1431"/>
      <c r="I40" s="727" t="s">
        <v>378</v>
      </c>
      <c r="J40" s="726"/>
      <c r="K40" s="726"/>
      <c r="L40" s="726"/>
      <c r="M40" s="726"/>
    </row>
    <row r="41" spans="1:13" ht="16.5">
      <c r="A41" s="172" t="s">
        <v>1499</v>
      </c>
      <c r="B41" s="726">
        <v>89</v>
      </c>
      <c r="C41" s="726">
        <v>13.020948000000001</v>
      </c>
      <c r="D41" s="731">
        <f t="shared" si="2"/>
        <v>11.58864372</v>
      </c>
      <c r="E41" s="726">
        <v>10</v>
      </c>
      <c r="F41" s="1425">
        <f t="shared" si="5"/>
        <v>8.9</v>
      </c>
      <c r="G41" s="1066">
        <f t="shared" si="6"/>
        <v>0.85938256800000001</v>
      </c>
      <c r="H41" s="1431"/>
      <c r="I41" s="727" t="s">
        <v>378</v>
      </c>
      <c r="J41" s="726"/>
      <c r="K41" s="726"/>
      <c r="L41" s="726"/>
      <c r="M41" s="726"/>
    </row>
    <row r="42" spans="1:13" ht="16.5">
      <c r="A42" s="172" t="s">
        <v>1697</v>
      </c>
      <c r="B42" s="726">
        <v>82</v>
      </c>
      <c r="C42" s="726">
        <v>10.215792</v>
      </c>
      <c r="D42" s="731">
        <f t="shared" si="2"/>
        <v>8.3769494400000006</v>
      </c>
      <c r="E42" s="726">
        <v>8.9</v>
      </c>
      <c r="F42" s="1425">
        <f t="shared" si="5"/>
        <v>7.2980000000000009</v>
      </c>
      <c r="G42" s="1066">
        <f t="shared" si="6"/>
        <v>0.67424227200000009</v>
      </c>
      <c r="H42" s="1431"/>
      <c r="I42" s="727" t="s">
        <v>378</v>
      </c>
      <c r="J42" s="726"/>
      <c r="K42" s="726"/>
      <c r="L42" s="726"/>
      <c r="M42" s="726"/>
    </row>
    <row r="43" spans="1:13" ht="16.5">
      <c r="A43" s="172" t="s">
        <v>1500</v>
      </c>
      <c r="B43" s="726">
        <v>34.6</v>
      </c>
      <c r="C43" s="726">
        <v>10.885680000000001</v>
      </c>
      <c r="D43" s="731">
        <f t="shared" si="2"/>
        <v>3.7664452800000006</v>
      </c>
      <c r="E43" s="726">
        <v>8.65</v>
      </c>
      <c r="F43" s="1425">
        <f t="shared" si="5"/>
        <v>2.9929000000000001</v>
      </c>
      <c r="G43" s="1066">
        <f t="shared" si="6"/>
        <v>0.71845488000000002</v>
      </c>
      <c r="H43" s="1431"/>
      <c r="I43" s="727" t="s">
        <v>1694</v>
      </c>
      <c r="J43" s="726"/>
      <c r="K43" s="726">
        <v>1680</v>
      </c>
      <c r="L43" s="726"/>
      <c r="M43" s="726">
        <v>200</v>
      </c>
    </row>
    <row r="44" spans="1:13" ht="16.5">
      <c r="A44" s="172" t="s">
        <v>1856</v>
      </c>
      <c r="B44" s="726">
        <v>22</v>
      </c>
      <c r="C44" s="726">
        <v>8.1999999999999993</v>
      </c>
      <c r="D44" s="731">
        <f t="shared" si="2"/>
        <v>1.8039999999999998</v>
      </c>
      <c r="E44" s="726">
        <v>5.5</v>
      </c>
      <c r="F44" s="1425">
        <f t="shared" si="5"/>
        <v>1.21</v>
      </c>
      <c r="G44" s="1066">
        <f t="shared" si="6"/>
        <v>0.5411999999999999</v>
      </c>
      <c r="H44" s="1195">
        <v>0</v>
      </c>
      <c r="I44" s="727" t="s">
        <v>1855</v>
      </c>
      <c r="J44" s="726">
        <v>300</v>
      </c>
      <c r="K44" s="726">
        <v>0</v>
      </c>
      <c r="L44" s="726">
        <v>18</v>
      </c>
      <c r="M44" s="726">
        <v>6</v>
      </c>
    </row>
    <row r="45" spans="1:13" ht="16.5">
      <c r="A45" s="172" t="s">
        <v>1502</v>
      </c>
      <c r="B45" s="726">
        <v>90</v>
      </c>
      <c r="C45" s="726">
        <v>15</v>
      </c>
      <c r="D45" s="731">
        <f t="shared" si="2"/>
        <v>13.5</v>
      </c>
      <c r="E45" s="726">
        <v>9</v>
      </c>
      <c r="F45" s="1425">
        <f t="shared" si="5"/>
        <v>8.1</v>
      </c>
      <c r="G45" s="1066">
        <f t="shared" si="6"/>
        <v>0.99</v>
      </c>
      <c r="H45" s="1431"/>
      <c r="I45" s="727" t="s">
        <v>378</v>
      </c>
      <c r="J45" s="726">
        <v>50</v>
      </c>
      <c r="K45" s="726">
        <v>30</v>
      </c>
      <c r="L45" s="726">
        <v>5</v>
      </c>
      <c r="M45" s="726">
        <v>10</v>
      </c>
    </row>
    <row r="46" spans="1:13" ht="16.5">
      <c r="A46" s="911" t="s">
        <v>1690</v>
      </c>
      <c r="B46" s="912">
        <v>26.2</v>
      </c>
      <c r="C46" s="912">
        <v>10.6</v>
      </c>
      <c r="D46" s="731">
        <f t="shared" si="2"/>
        <v>2.7772000000000001</v>
      </c>
      <c r="E46" s="912">
        <v>24.3</v>
      </c>
      <c r="F46" s="1425">
        <f t="shared" si="5"/>
        <v>6.3666</v>
      </c>
      <c r="G46" s="1066">
        <f t="shared" si="6"/>
        <v>0.69959999999999989</v>
      </c>
      <c r="H46" s="1432"/>
      <c r="I46" s="913" t="s">
        <v>1679</v>
      </c>
      <c r="J46" s="726">
        <v>50</v>
      </c>
      <c r="K46" s="726">
        <v>30</v>
      </c>
      <c r="L46" s="726">
        <v>5</v>
      </c>
      <c r="M46" s="726">
        <v>10</v>
      </c>
    </row>
    <row r="47" spans="1:13" ht="16.5">
      <c r="A47" s="172" t="s">
        <v>1626</v>
      </c>
      <c r="B47" s="726">
        <v>20.966999999999999</v>
      </c>
      <c r="C47" s="726">
        <v>10.8</v>
      </c>
      <c r="D47" s="731">
        <f t="shared" si="2"/>
        <v>2.2644359999999999</v>
      </c>
      <c r="E47" s="726">
        <v>15.77</v>
      </c>
      <c r="F47" s="1425">
        <f t="shared" si="5"/>
        <v>3.3064958999999998</v>
      </c>
      <c r="G47" s="1066">
        <f t="shared" si="6"/>
        <v>0.71279999999999999</v>
      </c>
      <c r="H47" s="1431"/>
      <c r="I47" s="727" t="s">
        <v>1244</v>
      </c>
      <c r="J47" s="726">
        <v>50</v>
      </c>
      <c r="K47" s="726">
        <v>30</v>
      </c>
      <c r="L47" s="726">
        <v>5</v>
      </c>
      <c r="M47" s="726">
        <v>10</v>
      </c>
    </row>
    <row r="48" spans="1:13" ht="16.5">
      <c r="A48" s="172" t="s">
        <v>1503</v>
      </c>
      <c r="B48" s="726">
        <v>20.966999999999999</v>
      </c>
      <c r="C48" s="726">
        <v>10.8</v>
      </c>
      <c r="D48" s="731">
        <f t="shared" si="2"/>
        <v>2.2644359999999999</v>
      </c>
      <c r="E48" s="726">
        <v>15.77</v>
      </c>
      <c r="F48" s="1425">
        <f t="shared" si="5"/>
        <v>3.3064958999999998</v>
      </c>
      <c r="G48" s="1066">
        <f t="shared" si="6"/>
        <v>0.71279999999999999</v>
      </c>
      <c r="H48" s="1431"/>
      <c r="I48" s="727" t="s">
        <v>1244</v>
      </c>
      <c r="J48" s="726">
        <v>50</v>
      </c>
      <c r="K48" s="726">
        <v>30</v>
      </c>
      <c r="L48" s="726">
        <v>5</v>
      </c>
      <c r="M48" s="726">
        <v>10</v>
      </c>
    </row>
    <row r="49" spans="1:13" ht="16.5">
      <c r="A49" s="172" t="s">
        <v>1245</v>
      </c>
      <c r="B49" s="726">
        <v>90.6</v>
      </c>
      <c r="C49" s="726">
        <v>10.89</v>
      </c>
      <c r="D49" s="731">
        <f t="shared" si="2"/>
        <v>9.8663399999999992</v>
      </c>
      <c r="E49" s="726">
        <v>14.8</v>
      </c>
      <c r="F49" s="1425">
        <f t="shared" si="5"/>
        <v>13.408799999999999</v>
      </c>
      <c r="G49" s="1066">
        <f t="shared" si="6"/>
        <v>0.71873999999999993</v>
      </c>
      <c r="H49" s="1431"/>
      <c r="I49" s="727" t="s">
        <v>1244</v>
      </c>
      <c r="J49" s="726">
        <v>50</v>
      </c>
      <c r="K49" s="726">
        <v>30</v>
      </c>
      <c r="L49" s="726">
        <v>5</v>
      </c>
      <c r="M49" s="726">
        <v>10</v>
      </c>
    </row>
    <row r="50" spans="1:13" ht="16.5">
      <c r="A50" s="172" t="s">
        <v>1504</v>
      </c>
      <c r="B50" s="726">
        <v>92.37</v>
      </c>
      <c r="C50" s="726">
        <v>14.193</v>
      </c>
      <c r="D50" s="731">
        <f t="shared" si="2"/>
        <v>13.1100741</v>
      </c>
      <c r="E50" s="726">
        <v>27.3</v>
      </c>
      <c r="F50" s="1425">
        <f t="shared" si="5"/>
        <v>25.217010000000002</v>
      </c>
      <c r="G50" s="1066">
        <f t="shared" si="6"/>
        <v>0.93673799999999985</v>
      </c>
      <c r="H50" s="1431"/>
      <c r="I50" s="727" t="s">
        <v>1244</v>
      </c>
      <c r="J50" s="726">
        <v>50</v>
      </c>
      <c r="K50" s="726">
        <v>30</v>
      </c>
      <c r="L50" s="726">
        <v>5</v>
      </c>
      <c r="M50" s="726">
        <v>10</v>
      </c>
    </row>
    <row r="51" spans="1:13" ht="16.5">
      <c r="A51" s="172" t="s">
        <v>1505</v>
      </c>
      <c r="B51" s="726">
        <v>28.4</v>
      </c>
      <c r="C51" s="726">
        <v>10</v>
      </c>
      <c r="D51" s="731">
        <f t="shared" si="2"/>
        <v>2.84</v>
      </c>
      <c r="E51" s="726">
        <v>19.399999999999999</v>
      </c>
      <c r="F51" s="1425">
        <f t="shared" si="5"/>
        <v>5.5095999999999989</v>
      </c>
      <c r="G51" s="1066">
        <f t="shared" si="6"/>
        <v>0.66</v>
      </c>
      <c r="H51" s="1431"/>
      <c r="I51" s="727" t="s">
        <v>1554</v>
      </c>
      <c r="J51" s="726">
        <v>50</v>
      </c>
      <c r="K51" s="726">
        <v>30</v>
      </c>
      <c r="L51" s="726">
        <v>5</v>
      </c>
      <c r="M51" s="726">
        <v>10</v>
      </c>
    </row>
    <row r="52" spans="1:13" ht="16.5">
      <c r="A52" s="172" t="s">
        <v>1143</v>
      </c>
      <c r="B52" s="726">
        <v>0</v>
      </c>
      <c r="C52" s="726">
        <v>0</v>
      </c>
      <c r="D52" s="731">
        <f t="shared" si="2"/>
        <v>0</v>
      </c>
      <c r="E52" s="726">
        <v>0</v>
      </c>
      <c r="F52" s="1425">
        <f t="shared" si="5"/>
        <v>0</v>
      </c>
      <c r="G52" s="1066">
        <f t="shared" si="6"/>
        <v>0</v>
      </c>
      <c r="H52" s="1431"/>
      <c r="I52" s="727" t="s">
        <v>1143</v>
      </c>
      <c r="J52" s="726">
        <v>50</v>
      </c>
      <c r="K52" s="726">
        <v>30</v>
      </c>
      <c r="L52" s="726">
        <v>5</v>
      </c>
      <c r="M52" s="726">
        <v>10</v>
      </c>
    </row>
    <row r="53" spans="1:13" ht="16.5">
      <c r="A53" s="172" t="s">
        <v>1506</v>
      </c>
      <c r="B53" s="726">
        <v>60</v>
      </c>
      <c r="C53" s="726">
        <v>5</v>
      </c>
      <c r="D53" s="731">
        <f t="shared" si="2"/>
        <v>3</v>
      </c>
      <c r="E53" s="726">
        <v>6</v>
      </c>
      <c r="F53" s="1425">
        <f t="shared" si="5"/>
        <v>3.6</v>
      </c>
      <c r="G53" s="1066">
        <f t="shared" si="6"/>
        <v>0.33</v>
      </c>
      <c r="H53" s="1431"/>
      <c r="I53" s="727" t="s">
        <v>1106</v>
      </c>
      <c r="J53" s="726">
        <v>50</v>
      </c>
      <c r="K53" s="726">
        <v>30</v>
      </c>
      <c r="L53" s="726">
        <v>5</v>
      </c>
      <c r="M53" s="726">
        <v>10</v>
      </c>
    </row>
    <row r="54" spans="1:13" ht="16.5">
      <c r="A54" s="172" t="s">
        <v>1501</v>
      </c>
      <c r="B54" s="726">
        <v>87</v>
      </c>
      <c r="C54" s="726">
        <v>6.9</v>
      </c>
      <c r="D54" s="731">
        <f t="shared" si="2"/>
        <v>6.0030000000000001</v>
      </c>
      <c r="E54" s="726">
        <v>3.9</v>
      </c>
      <c r="F54" s="1425">
        <f t="shared" ref="F54:F85" si="7">E54*B54/100</f>
        <v>3.3930000000000002</v>
      </c>
      <c r="G54" s="1066">
        <f t="shared" ref="G54:G85" si="8">C54*6.6/100</f>
        <v>0.45539999999999997</v>
      </c>
      <c r="H54" s="1431">
        <v>0</v>
      </c>
      <c r="I54" s="727" t="s">
        <v>378</v>
      </c>
      <c r="J54" s="726">
        <v>50</v>
      </c>
      <c r="K54" s="726">
        <v>30</v>
      </c>
      <c r="L54" s="726">
        <v>5</v>
      </c>
      <c r="M54" s="726">
        <v>10</v>
      </c>
    </row>
    <row r="55" spans="1:13" ht="16.5">
      <c r="A55" s="172" t="s">
        <v>1699</v>
      </c>
      <c r="B55" s="726">
        <v>89</v>
      </c>
      <c r="C55" s="726">
        <v>12.267324</v>
      </c>
      <c r="D55" s="731">
        <f t="shared" si="2"/>
        <v>10.91791836</v>
      </c>
      <c r="E55" s="726">
        <v>13.6</v>
      </c>
      <c r="F55" s="1425">
        <f t="shared" si="7"/>
        <v>12.103999999999999</v>
      </c>
      <c r="G55" s="1066">
        <f t="shared" si="8"/>
        <v>0.80964338400000002</v>
      </c>
      <c r="H55" s="1431"/>
      <c r="I55" s="727" t="s">
        <v>1542</v>
      </c>
      <c r="J55" s="726"/>
      <c r="K55" s="726"/>
      <c r="L55" s="726"/>
      <c r="M55" s="726"/>
    </row>
    <row r="56" spans="1:13" ht="16.5">
      <c r="A56" s="172" t="s">
        <v>1700</v>
      </c>
      <c r="B56" s="726">
        <v>26.77</v>
      </c>
      <c r="C56" s="726">
        <v>10.1</v>
      </c>
      <c r="D56" s="731">
        <f t="shared" si="2"/>
        <v>2.70377</v>
      </c>
      <c r="E56" s="726">
        <v>9.9</v>
      </c>
      <c r="F56" s="1425">
        <f t="shared" si="7"/>
        <v>2.6502300000000001</v>
      </c>
      <c r="G56" s="1066">
        <f t="shared" si="8"/>
        <v>0.66659999999999997</v>
      </c>
      <c r="H56" s="1431"/>
      <c r="I56" s="727" t="s">
        <v>1542</v>
      </c>
      <c r="J56" s="726"/>
      <c r="K56" s="726"/>
      <c r="L56" s="726"/>
      <c r="M56" s="726"/>
    </row>
    <row r="57" spans="1:13" ht="16.5">
      <c r="A57" s="172" t="s">
        <v>1701</v>
      </c>
      <c r="B57" s="726">
        <v>90.7</v>
      </c>
      <c r="C57" s="726">
        <v>7.9967879999999996</v>
      </c>
      <c r="D57" s="731">
        <f t="shared" si="2"/>
        <v>7.2530867159999994</v>
      </c>
      <c r="E57" s="726">
        <v>9.5</v>
      </c>
      <c r="F57" s="1425">
        <f t="shared" si="7"/>
        <v>8.6165000000000003</v>
      </c>
      <c r="G57" s="1066">
        <f t="shared" si="8"/>
        <v>0.52778800799999992</v>
      </c>
      <c r="H57" s="1431"/>
      <c r="I57" s="727" t="s">
        <v>1542</v>
      </c>
      <c r="J57" s="726"/>
      <c r="K57" s="726"/>
      <c r="L57" s="726"/>
      <c r="M57" s="726"/>
    </row>
    <row r="58" spans="1:13" ht="16.5">
      <c r="A58" s="172" t="s">
        <v>1702</v>
      </c>
      <c r="B58" s="726">
        <v>92.4</v>
      </c>
      <c r="C58" s="726">
        <v>5.3172360000000003</v>
      </c>
      <c r="D58" s="731">
        <f t="shared" si="2"/>
        <v>4.9131260640000001</v>
      </c>
      <c r="E58" s="726">
        <v>4.0999999999999996</v>
      </c>
      <c r="F58" s="1425">
        <f t="shared" si="7"/>
        <v>3.7883999999999998</v>
      </c>
      <c r="G58" s="1066">
        <f t="shared" si="8"/>
        <v>0.35093757600000003</v>
      </c>
      <c r="H58" s="1431"/>
      <c r="I58" s="727" t="s">
        <v>1542</v>
      </c>
      <c r="J58" s="726"/>
      <c r="K58" s="726"/>
      <c r="L58" s="726"/>
      <c r="M58" s="726"/>
    </row>
    <row r="59" spans="1:13" ht="16.5">
      <c r="A59" s="172" t="s">
        <v>1703</v>
      </c>
      <c r="B59" s="726">
        <v>91</v>
      </c>
      <c r="C59" s="726">
        <v>15.28182</v>
      </c>
      <c r="D59" s="731">
        <f t="shared" si="2"/>
        <v>13.906456200000001</v>
      </c>
      <c r="E59" s="726">
        <v>16.2</v>
      </c>
      <c r="F59" s="1425">
        <f t="shared" si="7"/>
        <v>14.742000000000001</v>
      </c>
      <c r="G59" s="1066">
        <f t="shared" si="8"/>
        <v>1.0086001199999999</v>
      </c>
      <c r="H59" s="1431"/>
      <c r="I59" s="727" t="s">
        <v>1112</v>
      </c>
      <c r="J59" s="726"/>
      <c r="K59" s="726"/>
      <c r="L59" s="726"/>
      <c r="M59" s="726"/>
    </row>
    <row r="60" spans="1:13" ht="16.5">
      <c r="A60" s="172" t="s">
        <v>1704</v>
      </c>
      <c r="B60" s="726">
        <v>36.4</v>
      </c>
      <c r="C60" s="726">
        <v>8.9178840000000008</v>
      </c>
      <c r="D60" s="731">
        <f t="shared" si="2"/>
        <v>3.2461097760000004</v>
      </c>
      <c r="E60" s="726">
        <v>12.7</v>
      </c>
      <c r="F60" s="1425">
        <f t="shared" si="7"/>
        <v>4.6227999999999998</v>
      </c>
      <c r="G60" s="1066">
        <f t="shared" si="8"/>
        <v>0.58858034400000003</v>
      </c>
      <c r="H60" s="1431"/>
      <c r="I60" s="727" t="s">
        <v>1542</v>
      </c>
      <c r="J60" s="726"/>
      <c r="K60" s="726"/>
      <c r="L60" s="726"/>
      <c r="M60" s="726"/>
    </row>
    <row r="61" spans="1:13" ht="16.5">
      <c r="A61" s="172" t="s">
        <v>1508</v>
      </c>
      <c r="B61" s="726">
        <v>90</v>
      </c>
      <c r="C61" s="726">
        <v>6.6988799999999999</v>
      </c>
      <c r="D61" s="731">
        <f t="shared" si="2"/>
        <v>6.0289919999999997</v>
      </c>
      <c r="E61" s="726">
        <v>4.4000000000000004</v>
      </c>
      <c r="F61" s="1425">
        <f t="shared" si="7"/>
        <v>3.9600000000000004</v>
      </c>
      <c r="G61" s="1066">
        <f t="shared" si="8"/>
        <v>0.44212607999999998</v>
      </c>
      <c r="H61" s="1431"/>
      <c r="I61" s="727" t="s">
        <v>1542</v>
      </c>
      <c r="J61" s="726"/>
      <c r="K61" s="726"/>
      <c r="L61" s="726"/>
      <c r="M61" s="726"/>
    </row>
    <row r="62" spans="1:13" ht="16.5">
      <c r="A62" s="172" t="s">
        <v>1509</v>
      </c>
      <c r="B62" s="726">
        <v>27.4</v>
      </c>
      <c r="C62" s="726">
        <v>8.6248079999999998</v>
      </c>
      <c r="D62" s="731">
        <f t="shared" si="2"/>
        <v>2.3631973919999996</v>
      </c>
      <c r="E62" s="726">
        <v>10.1</v>
      </c>
      <c r="F62" s="1425">
        <f t="shared" si="7"/>
        <v>2.7673999999999994</v>
      </c>
      <c r="G62" s="1066">
        <f t="shared" si="8"/>
        <v>0.56923732799999993</v>
      </c>
      <c r="H62" s="1431"/>
      <c r="I62" s="727" t="s">
        <v>1543</v>
      </c>
      <c r="J62" s="726"/>
      <c r="K62" s="726"/>
      <c r="L62" s="726"/>
      <c r="M62" s="726"/>
    </row>
    <row r="63" spans="1:13" ht="16.5">
      <c r="A63" s="172" t="s">
        <v>1510</v>
      </c>
      <c r="B63" s="726">
        <v>90.6</v>
      </c>
      <c r="C63" s="726">
        <v>8.1642600000000005</v>
      </c>
      <c r="D63" s="731">
        <f t="shared" si="2"/>
        <v>7.39681956</v>
      </c>
      <c r="E63" s="726">
        <v>8.4</v>
      </c>
      <c r="F63" s="1425">
        <f t="shared" si="7"/>
        <v>7.6103999999999994</v>
      </c>
      <c r="G63" s="1066">
        <f t="shared" si="8"/>
        <v>0.53884116000000004</v>
      </c>
      <c r="H63" s="1431"/>
      <c r="I63" s="727" t="s">
        <v>1543</v>
      </c>
      <c r="J63" s="726"/>
      <c r="K63" s="726"/>
      <c r="L63" s="726"/>
      <c r="M63" s="726"/>
    </row>
    <row r="64" spans="1:13" ht="16.5">
      <c r="A64" s="172" t="s">
        <v>1511</v>
      </c>
      <c r="B64" s="726">
        <v>42.85</v>
      </c>
      <c r="C64" s="726">
        <v>7.49437</v>
      </c>
      <c r="D64" s="731">
        <f t="shared" si="2"/>
        <v>3.2113375450000001</v>
      </c>
      <c r="E64" s="726">
        <v>16.149999999999999</v>
      </c>
      <c r="F64" s="1425">
        <f t="shared" si="7"/>
        <v>6.9202749999999993</v>
      </c>
      <c r="G64" s="1066">
        <f t="shared" si="8"/>
        <v>0.49462841999999996</v>
      </c>
      <c r="H64" s="1431"/>
      <c r="I64" s="727" t="s">
        <v>1543</v>
      </c>
      <c r="J64" s="726"/>
      <c r="K64" s="726"/>
      <c r="L64" s="726"/>
      <c r="M64" s="726"/>
    </row>
    <row r="65" spans="1:13" ht="16.5">
      <c r="A65" s="172" t="s">
        <v>1627</v>
      </c>
      <c r="B65" s="726">
        <v>26</v>
      </c>
      <c r="C65" s="726">
        <v>7.543013698630137</v>
      </c>
      <c r="D65" s="731">
        <f t="shared" si="2"/>
        <v>1.9611835616438358</v>
      </c>
      <c r="E65" s="726">
        <v>9.882191780821918</v>
      </c>
      <c r="F65" s="1425">
        <f t="shared" si="7"/>
        <v>2.5693698630136987</v>
      </c>
      <c r="G65" s="1066">
        <f t="shared" si="8"/>
        <v>0.49783890410958903</v>
      </c>
      <c r="H65" s="1431"/>
      <c r="I65" s="727" t="s">
        <v>1246</v>
      </c>
      <c r="J65" s="726">
        <v>350</v>
      </c>
      <c r="K65" s="726">
        <v>20</v>
      </c>
      <c r="L65" s="726">
        <v>31</v>
      </c>
      <c r="M65" s="726">
        <v>8</v>
      </c>
    </row>
    <row r="66" spans="1:13">
      <c r="A66" s="172" t="s">
        <v>1512</v>
      </c>
      <c r="B66" s="726">
        <v>26</v>
      </c>
      <c r="C66" s="726">
        <v>7.58</v>
      </c>
      <c r="D66" s="731">
        <f t="shared" si="2"/>
        <v>1.9708000000000001</v>
      </c>
      <c r="E66" s="726">
        <v>10</v>
      </c>
      <c r="F66" s="1425">
        <f t="shared" si="7"/>
        <v>2.6</v>
      </c>
      <c r="G66" s="1066">
        <f t="shared" si="8"/>
        <v>0.50027999999999995</v>
      </c>
      <c r="H66" s="1431"/>
      <c r="I66" s="172" t="s">
        <v>1246</v>
      </c>
      <c r="J66" s="726">
        <v>350</v>
      </c>
      <c r="K66" s="726">
        <v>20</v>
      </c>
      <c r="L66" s="726">
        <v>31</v>
      </c>
      <c r="M66" s="726">
        <v>8</v>
      </c>
    </row>
    <row r="67" spans="1:13" ht="16.5">
      <c r="A67" s="172" t="s">
        <v>1628</v>
      </c>
      <c r="B67" s="726">
        <v>28</v>
      </c>
      <c r="C67" s="726">
        <v>7.543013698630137</v>
      </c>
      <c r="D67" s="731">
        <f t="shared" si="2"/>
        <v>2.1120438356164386</v>
      </c>
      <c r="E67" s="726">
        <v>8.2547945205479447</v>
      </c>
      <c r="F67" s="1425">
        <f t="shared" si="7"/>
        <v>2.3113424657534245</v>
      </c>
      <c r="G67" s="1066">
        <f t="shared" si="8"/>
        <v>0.49783890410958903</v>
      </c>
      <c r="H67" s="1431"/>
      <c r="I67" s="727" t="s">
        <v>1247</v>
      </c>
      <c r="J67" s="726">
        <v>350</v>
      </c>
      <c r="K67" s="726">
        <v>20</v>
      </c>
      <c r="L67" s="726">
        <v>31</v>
      </c>
      <c r="M67" s="726">
        <v>8</v>
      </c>
    </row>
    <row r="68" spans="1:13" ht="16.5">
      <c r="A68" s="172" t="s">
        <v>1513</v>
      </c>
      <c r="B68" s="726">
        <v>86</v>
      </c>
      <c r="C68" s="726">
        <v>9.4621680000000001</v>
      </c>
      <c r="D68" s="731">
        <f t="shared" si="2"/>
        <v>8.1374644800000002</v>
      </c>
      <c r="E68" s="726">
        <v>6.4</v>
      </c>
      <c r="F68" s="1425">
        <f t="shared" si="7"/>
        <v>5.5039999999999996</v>
      </c>
      <c r="G68" s="1066">
        <f t="shared" si="8"/>
        <v>0.62450308799999998</v>
      </c>
      <c r="H68" s="1431"/>
      <c r="I68" s="727" t="s">
        <v>1544</v>
      </c>
      <c r="J68" s="726"/>
      <c r="K68" s="726"/>
      <c r="L68" s="726"/>
      <c r="M68" s="726"/>
    </row>
    <row r="69" spans="1:13" ht="16.5">
      <c r="A69" s="172" t="s">
        <v>1514</v>
      </c>
      <c r="B69" s="726">
        <v>90.34</v>
      </c>
      <c r="C69" s="726">
        <v>12.43</v>
      </c>
      <c r="D69" s="731">
        <f t="shared" si="2"/>
        <v>11.229262</v>
      </c>
      <c r="E69" s="726">
        <v>13.88</v>
      </c>
      <c r="F69" s="1425">
        <f t="shared" si="7"/>
        <v>12.539192</v>
      </c>
      <c r="G69" s="1066">
        <f t="shared" si="8"/>
        <v>0.82038</v>
      </c>
      <c r="H69" s="1431"/>
      <c r="I69" s="727" t="s">
        <v>1544</v>
      </c>
      <c r="J69" s="726"/>
      <c r="K69" s="726"/>
      <c r="L69" s="726"/>
      <c r="M69" s="726"/>
    </row>
    <row r="70" spans="1:13" ht="16.5">
      <c r="A70" s="172" t="s">
        <v>1515</v>
      </c>
      <c r="B70" s="726">
        <v>25</v>
      </c>
      <c r="C70" s="726">
        <v>8.5500000000000007</v>
      </c>
      <c r="D70" s="731">
        <f t="shared" ref="D70:D114" si="9">C70*(0.01*B70)</f>
        <v>2.1375000000000002</v>
      </c>
      <c r="E70" s="726">
        <v>13.81</v>
      </c>
      <c r="F70" s="1425">
        <f t="shared" si="7"/>
        <v>3.4525000000000001</v>
      </c>
      <c r="G70" s="1066">
        <f t="shared" si="8"/>
        <v>0.56430000000000002</v>
      </c>
      <c r="H70" s="1431"/>
      <c r="I70" s="727" t="s">
        <v>1544</v>
      </c>
      <c r="J70" s="726"/>
      <c r="K70" s="726"/>
      <c r="L70" s="726"/>
      <c r="M70" s="726"/>
    </row>
    <row r="71" spans="1:13" ht="16.5">
      <c r="A71" s="172" t="s">
        <v>1507</v>
      </c>
      <c r="B71" s="726">
        <v>60</v>
      </c>
      <c r="C71" s="726">
        <v>5</v>
      </c>
      <c r="D71" s="731">
        <f t="shared" si="9"/>
        <v>3</v>
      </c>
      <c r="E71" s="726">
        <v>6</v>
      </c>
      <c r="F71" s="1425">
        <f t="shared" si="7"/>
        <v>3.6</v>
      </c>
      <c r="G71" s="1066">
        <f t="shared" si="8"/>
        <v>0.33</v>
      </c>
      <c r="H71" s="1431">
        <v>1</v>
      </c>
      <c r="I71" s="727" t="s">
        <v>1106</v>
      </c>
      <c r="J71" s="726">
        <v>0</v>
      </c>
      <c r="K71" s="726">
        <v>0</v>
      </c>
      <c r="L71" s="726">
        <v>0</v>
      </c>
      <c r="M71" s="726">
        <v>0</v>
      </c>
    </row>
    <row r="72" spans="1:13" ht="16.5">
      <c r="A72" s="172" t="s">
        <v>1720</v>
      </c>
      <c r="B72" s="912">
        <v>19.5</v>
      </c>
      <c r="C72" s="912">
        <v>7.5</v>
      </c>
      <c r="D72" s="731">
        <f t="shared" si="9"/>
        <v>1.4625000000000001</v>
      </c>
      <c r="E72" s="912">
        <v>6.5</v>
      </c>
      <c r="F72" s="1425">
        <f t="shared" si="7"/>
        <v>1.2675000000000001</v>
      </c>
      <c r="G72" s="1428">
        <f t="shared" si="8"/>
        <v>0.495</v>
      </c>
      <c r="H72" s="1432"/>
      <c r="I72" s="727" t="s">
        <v>1722</v>
      </c>
      <c r="J72" s="912">
        <v>300</v>
      </c>
      <c r="K72" s="912">
        <v>0</v>
      </c>
      <c r="L72" s="912">
        <v>18</v>
      </c>
      <c r="M72" s="912">
        <v>6</v>
      </c>
    </row>
    <row r="73" spans="1:13" ht="16.5">
      <c r="A73" s="172" t="s">
        <v>1248</v>
      </c>
      <c r="B73" s="726">
        <v>91.69</v>
      </c>
      <c r="C73" s="726">
        <v>7.9967879999999987</v>
      </c>
      <c r="D73" s="731">
        <f t="shared" si="9"/>
        <v>7.3322549171999993</v>
      </c>
      <c r="E73" s="726">
        <v>16.3</v>
      </c>
      <c r="F73" s="1425">
        <f t="shared" si="7"/>
        <v>14.94547</v>
      </c>
      <c r="G73" s="1066">
        <f t="shared" si="8"/>
        <v>0.52778800799999981</v>
      </c>
      <c r="H73" s="1431"/>
      <c r="I73" s="727" t="s">
        <v>1249</v>
      </c>
      <c r="J73" s="726"/>
      <c r="K73" s="726"/>
      <c r="L73" s="726"/>
      <c r="M73" s="726"/>
    </row>
    <row r="74" spans="1:13" ht="16.5">
      <c r="A74" s="172" t="s">
        <v>1516</v>
      </c>
      <c r="B74" s="726">
        <v>89.4</v>
      </c>
      <c r="C74" s="726">
        <v>11.08</v>
      </c>
      <c r="D74" s="731">
        <f t="shared" si="9"/>
        <v>9.905520000000001</v>
      </c>
      <c r="E74" s="726">
        <v>19.39</v>
      </c>
      <c r="F74" s="1425">
        <f t="shared" si="7"/>
        <v>17.33466</v>
      </c>
      <c r="G74" s="1066">
        <f t="shared" si="8"/>
        <v>0.73128000000000004</v>
      </c>
      <c r="H74" s="1431"/>
      <c r="I74" s="727" t="s">
        <v>1249</v>
      </c>
      <c r="J74" s="726"/>
      <c r="K74" s="726"/>
      <c r="L74" s="726"/>
      <c r="M74" s="726"/>
    </row>
    <row r="75" spans="1:13" ht="16.5">
      <c r="A75" s="172" t="s">
        <v>1517</v>
      </c>
      <c r="B75" s="726">
        <v>68.7</v>
      </c>
      <c r="C75" s="726">
        <v>11.5</v>
      </c>
      <c r="D75" s="731">
        <f t="shared" si="9"/>
        <v>7.900500000000001</v>
      </c>
      <c r="E75" s="726">
        <v>21.6</v>
      </c>
      <c r="F75" s="1425">
        <f t="shared" si="7"/>
        <v>14.8392</v>
      </c>
      <c r="G75" s="1066">
        <f t="shared" si="8"/>
        <v>0.7589999999999999</v>
      </c>
      <c r="H75" s="1431"/>
      <c r="I75" s="727" t="s">
        <v>1249</v>
      </c>
      <c r="J75" s="726"/>
      <c r="K75" s="726"/>
      <c r="L75" s="726"/>
      <c r="M75" s="726"/>
    </row>
    <row r="76" spans="1:13" ht="16.5">
      <c r="A76" s="172" t="s">
        <v>1250</v>
      </c>
      <c r="B76" s="726">
        <v>20.6</v>
      </c>
      <c r="C76" s="726">
        <v>11.5137</v>
      </c>
      <c r="D76" s="731">
        <f t="shared" si="9"/>
        <v>2.3718222</v>
      </c>
      <c r="E76" s="726">
        <v>9.1</v>
      </c>
      <c r="F76" s="1425">
        <f t="shared" si="7"/>
        <v>1.8746</v>
      </c>
      <c r="G76" s="1066">
        <f t="shared" si="8"/>
        <v>0.75990420000000003</v>
      </c>
      <c r="H76" s="1431"/>
      <c r="I76" s="727" t="s">
        <v>1251</v>
      </c>
      <c r="J76" s="726"/>
      <c r="K76" s="726"/>
      <c r="L76" s="726"/>
      <c r="M76" s="726"/>
    </row>
    <row r="77" spans="1:13" ht="16.5">
      <c r="A77" s="172" t="s">
        <v>1518</v>
      </c>
      <c r="B77" s="726">
        <v>35.119999999999997</v>
      </c>
      <c r="C77" s="726">
        <v>8.2200000000000006</v>
      </c>
      <c r="D77" s="731">
        <f t="shared" si="9"/>
        <v>2.8868639999999997</v>
      </c>
      <c r="E77" s="726">
        <v>7.94</v>
      </c>
      <c r="F77" s="1425">
        <f t="shared" si="7"/>
        <v>2.7885279999999999</v>
      </c>
      <c r="G77" s="1066">
        <f t="shared" si="8"/>
        <v>0.54252</v>
      </c>
      <c r="H77" s="1431"/>
      <c r="I77" s="727" t="s">
        <v>1251</v>
      </c>
      <c r="J77" s="726"/>
      <c r="K77" s="726"/>
      <c r="L77" s="726"/>
      <c r="M77" s="726"/>
    </row>
    <row r="78" spans="1:13" ht="16.5">
      <c r="A78" s="172" t="s">
        <v>1519</v>
      </c>
      <c r="B78" s="726">
        <v>15.44</v>
      </c>
      <c r="C78" s="726">
        <v>10.25</v>
      </c>
      <c r="D78" s="731">
        <f t="shared" si="9"/>
        <v>1.5826</v>
      </c>
      <c r="E78" s="726">
        <v>6.96</v>
      </c>
      <c r="F78" s="1425">
        <f t="shared" si="7"/>
        <v>1.074624</v>
      </c>
      <c r="G78" s="1066">
        <f t="shared" si="8"/>
        <v>0.67649999999999988</v>
      </c>
      <c r="H78" s="1431"/>
      <c r="I78" s="727" t="s">
        <v>1545</v>
      </c>
      <c r="J78" s="726"/>
      <c r="K78" s="726"/>
      <c r="L78" s="726"/>
      <c r="M78" s="726"/>
    </row>
    <row r="79" spans="1:13" ht="16.5">
      <c r="A79" s="172" t="s">
        <v>1520</v>
      </c>
      <c r="B79" s="726">
        <v>16.34</v>
      </c>
      <c r="C79" s="726">
        <v>12.99</v>
      </c>
      <c r="D79" s="731">
        <f t="shared" si="9"/>
        <v>2.122566</v>
      </c>
      <c r="E79" s="726">
        <v>14.13</v>
      </c>
      <c r="F79" s="1425">
        <f t="shared" si="7"/>
        <v>2.3088420000000003</v>
      </c>
      <c r="G79" s="1066">
        <f t="shared" si="8"/>
        <v>0.85733999999999999</v>
      </c>
      <c r="H79" s="1431"/>
      <c r="I79" s="727" t="s">
        <v>1545</v>
      </c>
      <c r="J79" s="726"/>
      <c r="K79" s="726"/>
      <c r="L79" s="726"/>
      <c r="M79" s="726"/>
    </row>
    <row r="80" spans="1:13" ht="16.5">
      <c r="A80" s="172" t="s">
        <v>1629</v>
      </c>
      <c r="B80" s="726">
        <v>78.7</v>
      </c>
      <c r="C80" s="726">
        <v>8.1642600000000005</v>
      </c>
      <c r="D80" s="731">
        <f t="shared" si="9"/>
        <v>6.4252726200000003</v>
      </c>
      <c r="E80" s="726">
        <v>17.78</v>
      </c>
      <c r="F80" s="1425">
        <f t="shared" si="7"/>
        <v>13.99286</v>
      </c>
      <c r="G80" s="1066">
        <f t="shared" si="8"/>
        <v>0.53884116000000004</v>
      </c>
      <c r="H80" s="1431"/>
      <c r="I80" s="727" t="s">
        <v>1112</v>
      </c>
      <c r="J80" s="726"/>
      <c r="K80" s="726"/>
      <c r="L80" s="726"/>
      <c r="M80" s="726"/>
    </row>
    <row r="81" spans="1:13" ht="16.5">
      <c r="A81" s="172" t="s">
        <v>1521</v>
      </c>
      <c r="B81" s="726">
        <v>22.73</v>
      </c>
      <c r="C81" s="726">
        <v>9.91</v>
      </c>
      <c r="D81" s="731">
        <f t="shared" si="9"/>
        <v>2.2525430000000002</v>
      </c>
      <c r="E81" s="726">
        <v>15.44</v>
      </c>
      <c r="F81" s="1425">
        <f t="shared" si="7"/>
        <v>3.5095119999999995</v>
      </c>
      <c r="G81" s="1066">
        <f t="shared" si="8"/>
        <v>0.65405999999999986</v>
      </c>
      <c r="H81" s="1431"/>
      <c r="I81" s="727" t="s">
        <v>1546</v>
      </c>
      <c r="J81" s="726"/>
      <c r="K81" s="726"/>
      <c r="L81" s="726"/>
      <c r="M81" s="726"/>
    </row>
    <row r="82" spans="1:13" ht="16.5">
      <c r="A82" s="172" t="s">
        <v>1522</v>
      </c>
      <c r="B82" s="726">
        <v>19.600000000000001</v>
      </c>
      <c r="C82" s="726">
        <v>10.425132</v>
      </c>
      <c r="D82" s="731">
        <f t="shared" si="9"/>
        <v>2.043325872</v>
      </c>
      <c r="E82" s="726">
        <v>20.8</v>
      </c>
      <c r="F82" s="1425">
        <f t="shared" si="7"/>
        <v>4.0768000000000004</v>
      </c>
      <c r="G82" s="1066">
        <f t="shared" si="8"/>
        <v>0.68805871200000002</v>
      </c>
      <c r="H82" s="1431"/>
      <c r="I82" s="727" t="s">
        <v>1547</v>
      </c>
      <c r="J82" s="726"/>
      <c r="K82" s="726"/>
      <c r="L82" s="726"/>
      <c r="M82" s="726"/>
    </row>
    <row r="83" spans="1:13" ht="16.5">
      <c r="A83" s="172" t="s">
        <v>1523</v>
      </c>
      <c r="B83" s="726">
        <v>88.4</v>
      </c>
      <c r="C83" s="726">
        <v>8.3317320000000006</v>
      </c>
      <c r="D83" s="731">
        <f t="shared" si="9"/>
        <v>7.3652510880000017</v>
      </c>
      <c r="E83" s="726">
        <v>15</v>
      </c>
      <c r="F83" s="1425">
        <f t="shared" si="7"/>
        <v>13.26</v>
      </c>
      <c r="G83" s="1066">
        <f t="shared" si="8"/>
        <v>0.54989431199999994</v>
      </c>
      <c r="H83" s="1431"/>
      <c r="I83" s="727" t="s">
        <v>1547</v>
      </c>
      <c r="J83" s="726"/>
      <c r="K83" s="726"/>
      <c r="L83" s="726"/>
      <c r="M83" s="726"/>
    </row>
    <row r="84" spans="1:13" ht="16.5">
      <c r="A84" s="172" t="s">
        <v>1719</v>
      </c>
      <c r="B84" s="726">
        <v>15</v>
      </c>
      <c r="C84" s="726">
        <v>9.8808480000000003</v>
      </c>
      <c r="D84" s="731">
        <f t="shared" si="9"/>
        <v>1.4821272000000001</v>
      </c>
      <c r="E84" s="726">
        <v>11</v>
      </c>
      <c r="F84" s="1425">
        <f t="shared" si="7"/>
        <v>1.65</v>
      </c>
      <c r="G84" s="1066">
        <f t="shared" si="8"/>
        <v>0.65213596800000007</v>
      </c>
      <c r="H84" s="1431">
        <v>0</v>
      </c>
      <c r="I84" s="727" t="s">
        <v>1721</v>
      </c>
      <c r="J84" s="726">
        <v>300</v>
      </c>
      <c r="K84" s="726">
        <v>0</v>
      </c>
      <c r="L84" s="726">
        <v>18</v>
      </c>
      <c r="M84" s="726">
        <v>6</v>
      </c>
    </row>
    <row r="85" spans="1:13" ht="16.5">
      <c r="A85" s="172" t="s">
        <v>808</v>
      </c>
      <c r="B85" s="726">
        <v>92.4</v>
      </c>
      <c r="C85" s="726">
        <v>9.1</v>
      </c>
      <c r="D85" s="731">
        <f t="shared" si="9"/>
        <v>8.4084000000000003</v>
      </c>
      <c r="E85" s="726">
        <v>7.7</v>
      </c>
      <c r="F85" s="1425">
        <f t="shared" si="7"/>
        <v>7.1147999999999998</v>
      </c>
      <c r="G85" s="1066">
        <f t="shared" si="8"/>
        <v>0.60059999999999991</v>
      </c>
      <c r="H85" s="1431"/>
      <c r="I85" s="727" t="s">
        <v>1107</v>
      </c>
      <c r="J85" s="726">
        <v>300</v>
      </c>
      <c r="K85" s="726">
        <v>0</v>
      </c>
      <c r="L85" s="726">
        <v>18</v>
      </c>
      <c r="M85" s="726">
        <v>6</v>
      </c>
    </row>
    <row r="86" spans="1:13" ht="16.5">
      <c r="A86" s="172" t="s">
        <v>1631</v>
      </c>
      <c r="B86" s="726">
        <v>91</v>
      </c>
      <c r="C86" s="726">
        <v>10.425132</v>
      </c>
      <c r="D86" s="731">
        <f t="shared" si="9"/>
        <v>9.4868701200000007</v>
      </c>
      <c r="E86" s="726">
        <v>14</v>
      </c>
      <c r="F86" s="1425">
        <f t="shared" ref="F86:F114" si="10">E86*B86/100</f>
        <v>12.74</v>
      </c>
      <c r="G86" s="1066">
        <f t="shared" ref="G86:G114" si="11">C86*6.6/100</f>
        <v>0.68805871200000002</v>
      </c>
      <c r="H86" s="1431"/>
      <c r="I86" s="727" t="s">
        <v>1112</v>
      </c>
      <c r="J86" s="726">
        <v>300</v>
      </c>
      <c r="K86" s="726">
        <v>0</v>
      </c>
      <c r="L86" s="726">
        <v>18</v>
      </c>
      <c r="M86" s="726">
        <v>6</v>
      </c>
    </row>
    <row r="87" spans="1:13" ht="16.5">
      <c r="A87" s="172" t="s">
        <v>1632</v>
      </c>
      <c r="B87" s="726">
        <v>92</v>
      </c>
      <c r="C87" s="726">
        <v>1.4235120000000001</v>
      </c>
      <c r="D87" s="731">
        <f t="shared" si="9"/>
        <v>1.3096310400000002</v>
      </c>
      <c r="E87" s="726">
        <v>3.1</v>
      </c>
      <c r="F87" s="1425">
        <f t="shared" si="10"/>
        <v>2.8519999999999999</v>
      </c>
      <c r="G87" s="1066">
        <f t="shared" si="11"/>
        <v>9.3951791999999992E-2</v>
      </c>
      <c r="H87" s="1431"/>
      <c r="I87" s="727" t="s">
        <v>645</v>
      </c>
      <c r="J87" s="726">
        <v>300</v>
      </c>
      <c r="K87" s="726">
        <v>0</v>
      </c>
      <c r="L87" s="726">
        <v>18</v>
      </c>
      <c r="M87" s="726">
        <v>6</v>
      </c>
    </row>
    <row r="88" spans="1:13" ht="16.5">
      <c r="A88" s="172" t="s">
        <v>1633</v>
      </c>
      <c r="B88" s="726">
        <v>91.88</v>
      </c>
      <c r="C88" s="726">
        <v>5.64</v>
      </c>
      <c r="D88" s="731">
        <f t="shared" si="9"/>
        <v>5.1820319999999995</v>
      </c>
      <c r="E88" s="726">
        <v>3.85</v>
      </c>
      <c r="F88" s="1425">
        <f t="shared" si="10"/>
        <v>3.5373800000000002</v>
      </c>
      <c r="G88" s="1066">
        <f t="shared" si="11"/>
        <v>0.37223999999999996</v>
      </c>
      <c r="H88" s="1431"/>
      <c r="I88" s="727" t="s">
        <v>645</v>
      </c>
      <c r="J88" s="726">
        <v>300</v>
      </c>
      <c r="K88" s="726">
        <v>0</v>
      </c>
      <c r="L88" s="726">
        <v>18</v>
      </c>
      <c r="M88" s="726">
        <v>6</v>
      </c>
    </row>
    <row r="89" spans="1:13" ht="16.5">
      <c r="A89" s="172" t="s">
        <v>1524</v>
      </c>
      <c r="B89" s="726">
        <v>28.9</v>
      </c>
      <c r="C89" s="726">
        <v>8.5399999999999991</v>
      </c>
      <c r="D89" s="731">
        <f t="shared" si="9"/>
        <v>2.4680599999999995</v>
      </c>
      <c r="E89" s="726">
        <v>21.3</v>
      </c>
      <c r="F89" s="1425">
        <f t="shared" si="10"/>
        <v>6.1556999999999995</v>
      </c>
      <c r="G89" s="1066">
        <f t="shared" si="11"/>
        <v>0.56363999999999992</v>
      </c>
      <c r="H89" s="1195"/>
      <c r="I89" s="727" t="s">
        <v>1548</v>
      </c>
      <c r="J89" s="726">
        <v>300</v>
      </c>
      <c r="K89" s="726">
        <v>0</v>
      </c>
      <c r="L89" s="726">
        <v>18</v>
      </c>
      <c r="M89" s="726">
        <v>6</v>
      </c>
    </row>
    <row r="90" spans="1:13" ht="16.5">
      <c r="A90" s="172" t="s">
        <v>1525</v>
      </c>
      <c r="B90" s="726">
        <v>26.1</v>
      </c>
      <c r="C90" s="726">
        <v>11.220624000000001</v>
      </c>
      <c r="D90" s="731">
        <f t="shared" si="9"/>
        <v>2.9285828640000005</v>
      </c>
      <c r="E90" s="726">
        <v>21.3</v>
      </c>
      <c r="F90" s="1425">
        <f t="shared" si="10"/>
        <v>5.5593000000000004</v>
      </c>
      <c r="G90" s="1066">
        <f t="shared" si="11"/>
        <v>0.74056118400000004</v>
      </c>
      <c r="H90" s="1195"/>
      <c r="I90" s="727" t="s">
        <v>1549</v>
      </c>
      <c r="J90" s="726">
        <v>300</v>
      </c>
      <c r="K90" s="726">
        <v>0</v>
      </c>
      <c r="L90" s="726">
        <v>18</v>
      </c>
      <c r="M90" s="726">
        <v>6</v>
      </c>
    </row>
    <row r="91" spans="1:13" ht="16.5">
      <c r="A91" s="172" t="s">
        <v>1526</v>
      </c>
      <c r="B91" s="726">
        <v>92.6</v>
      </c>
      <c r="C91" s="726">
        <v>8.0386559999999996</v>
      </c>
      <c r="D91" s="731">
        <f t="shared" si="9"/>
        <v>7.4437954559999993</v>
      </c>
      <c r="E91" s="726">
        <v>6</v>
      </c>
      <c r="F91" s="1425">
        <f t="shared" si="10"/>
        <v>5.5559999999999992</v>
      </c>
      <c r="G91" s="1066">
        <f t="shared" si="11"/>
        <v>0.53055129599999995</v>
      </c>
      <c r="H91" s="1195"/>
      <c r="I91" s="727" t="s">
        <v>1549</v>
      </c>
      <c r="J91" s="726">
        <v>300</v>
      </c>
      <c r="K91" s="726">
        <v>0</v>
      </c>
      <c r="L91" s="726">
        <v>18</v>
      </c>
      <c r="M91" s="726">
        <v>6</v>
      </c>
    </row>
    <row r="92" spans="1:13" ht="16.5">
      <c r="A92" s="172" t="s">
        <v>1252</v>
      </c>
      <c r="B92" s="726">
        <v>85</v>
      </c>
      <c r="C92" s="726">
        <v>7.0338240000000001</v>
      </c>
      <c r="D92" s="731">
        <f t="shared" si="9"/>
        <v>5.9787504</v>
      </c>
      <c r="E92" s="726">
        <v>4.9000000000000004</v>
      </c>
      <c r="F92" s="1425">
        <f t="shared" si="10"/>
        <v>4.1650000000000009</v>
      </c>
      <c r="G92" s="1066">
        <f t="shared" si="11"/>
        <v>0.46423238399999994</v>
      </c>
      <c r="H92" s="1431"/>
      <c r="I92" s="727" t="s">
        <v>644</v>
      </c>
      <c r="J92" s="726">
        <v>300</v>
      </c>
      <c r="K92" s="726">
        <v>0</v>
      </c>
      <c r="L92" s="726">
        <v>18</v>
      </c>
      <c r="M92" s="726">
        <v>6</v>
      </c>
    </row>
    <row r="93" spans="1:13" ht="16.5">
      <c r="A93" s="172" t="s">
        <v>1634</v>
      </c>
      <c r="B93" s="726">
        <v>29.46</v>
      </c>
      <c r="C93" s="726">
        <v>12.31</v>
      </c>
      <c r="D93" s="731">
        <f t="shared" si="9"/>
        <v>3.6265260000000006</v>
      </c>
      <c r="E93" s="726">
        <v>9.24</v>
      </c>
      <c r="F93" s="1425">
        <f t="shared" si="10"/>
        <v>2.7221039999999999</v>
      </c>
      <c r="G93" s="1066">
        <f t="shared" si="11"/>
        <v>0.81245999999999996</v>
      </c>
      <c r="H93" s="1431"/>
      <c r="I93" s="727" t="s">
        <v>644</v>
      </c>
      <c r="J93" s="726">
        <v>300</v>
      </c>
      <c r="K93" s="726">
        <v>0</v>
      </c>
      <c r="L93" s="726">
        <v>18</v>
      </c>
      <c r="M93" s="726">
        <v>6</v>
      </c>
    </row>
    <row r="94" spans="1:13" ht="16.5">
      <c r="A94" s="172" t="s">
        <v>1527</v>
      </c>
      <c r="B94" s="726">
        <v>90</v>
      </c>
      <c r="C94" s="726">
        <v>12.392927999999999</v>
      </c>
      <c r="D94" s="731">
        <f t="shared" si="9"/>
        <v>11.1536352</v>
      </c>
      <c r="E94" s="726">
        <v>12.6</v>
      </c>
      <c r="F94" s="1425">
        <f t="shared" si="10"/>
        <v>11.34</v>
      </c>
      <c r="G94" s="1066">
        <f t="shared" si="11"/>
        <v>0.81793324799999989</v>
      </c>
      <c r="H94" s="1195"/>
      <c r="I94" s="727" t="s">
        <v>644</v>
      </c>
      <c r="J94" s="726">
        <v>300</v>
      </c>
      <c r="K94" s="726">
        <v>0</v>
      </c>
      <c r="L94" s="726">
        <v>18</v>
      </c>
      <c r="M94" s="726">
        <v>6</v>
      </c>
    </row>
    <row r="95" spans="1:13" ht="16.5">
      <c r="A95" s="172" t="s">
        <v>1253</v>
      </c>
      <c r="B95" s="726">
        <v>30</v>
      </c>
      <c r="C95" s="726">
        <v>9.043488</v>
      </c>
      <c r="D95" s="731">
        <f t="shared" si="9"/>
        <v>2.7130464000000001</v>
      </c>
      <c r="E95" s="726">
        <v>9.39</v>
      </c>
      <c r="F95" s="1425">
        <f t="shared" si="10"/>
        <v>2.8170000000000006</v>
      </c>
      <c r="G95" s="1066">
        <f t="shared" si="11"/>
        <v>0.59687020800000001</v>
      </c>
      <c r="H95" s="1195"/>
      <c r="I95" s="727" t="s">
        <v>644</v>
      </c>
      <c r="J95" s="726">
        <v>300</v>
      </c>
      <c r="K95" s="726">
        <v>0</v>
      </c>
      <c r="L95" s="726">
        <v>18</v>
      </c>
      <c r="M95" s="726">
        <v>6</v>
      </c>
    </row>
    <row r="96" spans="1:13" ht="16.5">
      <c r="A96" s="172" t="s">
        <v>1528</v>
      </c>
      <c r="B96" s="726">
        <v>88</v>
      </c>
      <c r="C96" s="726">
        <v>6.3220679999999998</v>
      </c>
      <c r="D96" s="731">
        <f t="shared" si="9"/>
        <v>5.5634198399999999</v>
      </c>
      <c r="E96" s="726">
        <v>5.2</v>
      </c>
      <c r="F96" s="1425">
        <f t="shared" si="10"/>
        <v>4.5760000000000005</v>
      </c>
      <c r="G96" s="1066">
        <f t="shared" si="11"/>
        <v>0.41725648799999993</v>
      </c>
      <c r="H96" s="1195"/>
      <c r="I96" s="727" t="s">
        <v>1550</v>
      </c>
      <c r="J96" s="726">
        <v>300</v>
      </c>
      <c r="K96" s="726">
        <v>0</v>
      </c>
      <c r="L96" s="726">
        <v>18</v>
      </c>
      <c r="M96" s="726">
        <v>6</v>
      </c>
    </row>
    <row r="97" spans="1:13" ht="16.5">
      <c r="A97" s="172" t="s">
        <v>1529</v>
      </c>
      <c r="B97" s="726">
        <v>89</v>
      </c>
      <c r="C97" s="726">
        <v>13.188420000000001</v>
      </c>
      <c r="D97" s="731">
        <f t="shared" si="9"/>
        <v>11.737693800000001</v>
      </c>
      <c r="E97" s="726">
        <v>49.6</v>
      </c>
      <c r="F97" s="1425">
        <f t="shared" si="10"/>
        <v>44.144000000000005</v>
      </c>
      <c r="G97" s="1066">
        <f t="shared" si="11"/>
        <v>0.87043572000000002</v>
      </c>
      <c r="H97" s="1195"/>
      <c r="I97" s="727" t="s">
        <v>1550</v>
      </c>
      <c r="J97" s="726">
        <v>300</v>
      </c>
      <c r="K97" s="726">
        <v>0</v>
      </c>
      <c r="L97" s="726">
        <v>18</v>
      </c>
      <c r="M97" s="726">
        <v>6</v>
      </c>
    </row>
    <row r="98" spans="1:13" ht="16.5">
      <c r="A98" s="172" t="s">
        <v>1530</v>
      </c>
      <c r="B98" s="726">
        <v>90.3</v>
      </c>
      <c r="C98" s="726">
        <v>12.476664</v>
      </c>
      <c r="D98" s="731">
        <f t="shared" si="9"/>
        <v>11.266427591999999</v>
      </c>
      <c r="E98" s="726">
        <v>12.2</v>
      </c>
      <c r="F98" s="1425">
        <f t="shared" si="10"/>
        <v>11.016599999999999</v>
      </c>
      <c r="G98" s="1066">
        <f t="shared" si="11"/>
        <v>0.82345982399999995</v>
      </c>
      <c r="H98" s="1195"/>
      <c r="I98" s="727" t="s">
        <v>1550</v>
      </c>
      <c r="J98" s="726">
        <v>300</v>
      </c>
      <c r="K98" s="726">
        <v>0</v>
      </c>
      <c r="L98" s="726">
        <v>18</v>
      </c>
      <c r="M98" s="726">
        <v>6</v>
      </c>
    </row>
    <row r="99" spans="1:13" ht="16.5">
      <c r="A99" s="172" t="s">
        <v>1531</v>
      </c>
      <c r="B99" s="726">
        <v>86.4</v>
      </c>
      <c r="C99" s="726">
        <v>14.23512</v>
      </c>
      <c r="D99" s="731">
        <f t="shared" si="9"/>
        <v>12.299143680000002</v>
      </c>
      <c r="E99" s="726">
        <v>40.299999999999997</v>
      </c>
      <c r="F99" s="1425">
        <f t="shared" si="10"/>
        <v>34.819200000000002</v>
      </c>
      <c r="G99" s="1066">
        <f t="shared" si="11"/>
        <v>0.93951792000000001</v>
      </c>
      <c r="H99" s="1195"/>
      <c r="I99" s="727" t="s">
        <v>1550</v>
      </c>
      <c r="J99" s="726">
        <v>300</v>
      </c>
      <c r="K99" s="726">
        <v>0</v>
      </c>
      <c r="L99" s="726">
        <v>18</v>
      </c>
      <c r="M99" s="726">
        <v>6</v>
      </c>
    </row>
    <row r="100" spans="1:13" ht="16.5">
      <c r="A100" s="172" t="s">
        <v>1635</v>
      </c>
      <c r="B100" s="726">
        <v>19.420000000000002</v>
      </c>
      <c r="C100" s="726">
        <v>9.5459040000000002</v>
      </c>
      <c r="D100" s="731">
        <f t="shared" si="9"/>
        <v>1.8538145568000002</v>
      </c>
      <c r="E100" s="726">
        <v>18.690000000000001</v>
      </c>
      <c r="F100" s="1425">
        <f t="shared" si="10"/>
        <v>3.6295980000000001</v>
      </c>
      <c r="G100" s="1066">
        <f t="shared" si="11"/>
        <v>0.63002966399999993</v>
      </c>
      <c r="H100" s="1431"/>
      <c r="I100" s="727" t="s">
        <v>1254</v>
      </c>
      <c r="J100" s="726">
        <v>300</v>
      </c>
      <c r="K100" s="726">
        <v>0</v>
      </c>
      <c r="L100" s="726">
        <v>18</v>
      </c>
      <c r="M100" s="726">
        <v>6</v>
      </c>
    </row>
    <row r="101" spans="1:13" ht="16.5">
      <c r="A101" s="172" t="s">
        <v>1532</v>
      </c>
      <c r="B101" s="726">
        <v>29</v>
      </c>
      <c r="C101" s="726">
        <v>6.9</v>
      </c>
      <c r="D101" s="731">
        <f t="shared" si="9"/>
        <v>2.0009999999999999</v>
      </c>
      <c r="E101" s="726">
        <v>5.9</v>
      </c>
      <c r="F101" s="1425">
        <f t="shared" si="10"/>
        <v>1.7110000000000003</v>
      </c>
      <c r="G101" s="1066">
        <f t="shared" si="11"/>
        <v>0.45539999999999997</v>
      </c>
      <c r="H101" s="1195"/>
      <c r="I101" s="727" t="s">
        <v>1112</v>
      </c>
      <c r="J101" s="726">
        <v>300</v>
      </c>
      <c r="K101" s="726">
        <v>0</v>
      </c>
      <c r="L101" s="726">
        <v>18</v>
      </c>
      <c r="M101" s="726">
        <v>6</v>
      </c>
    </row>
    <row r="102" spans="1:13" ht="16.5">
      <c r="A102" s="172" t="s">
        <v>809</v>
      </c>
      <c r="B102" s="726">
        <v>96.27</v>
      </c>
      <c r="C102" s="726">
        <v>7.4400000000000013</v>
      </c>
      <c r="D102" s="731">
        <f t="shared" si="9"/>
        <v>7.1624880000000015</v>
      </c>
      <c r="E102" s="726">
        <v>3.6899999999999995</v>
      </c>
      <c r="F102" s="1425">
        <f t="shared" si="10"/>
        <v>3.5523629999999993</v>
      </c>
      <c r="G102" s="1066">
        <f t="shared" si="11"/>
        <v>0.49104000000000009</v>
      </c>
      <c r="H102" s="1431"/>
      <c r="I102" s="727" t="s">
        <v>1108</v>
      </c>
      <c r="J102" s="726">
        <v>300</v>
      </c>
      <c r="K102" s="726">
        <v>0</v>
      </c>
      <c r="L102" s="726">
        <v>18</v>
      </c>
      <c r="M102" s="726">
        <v>6</v>
      </c>
    </row>
    <row r="103" spans="1:13" ht="16.5">
      <c r="A103" s="172" t="s">
        <v>1693</v>
      </c>
      <c r="B103" s="912">
        <v>23.2</v>
      </c>
      <c r="C103" s="912">
        <v>9</v>
      </c>
      <c r="D103" s="731">
        <f t="shared" si="9"/>
        <v>2.0880000000000001</v>
      </c>
      <c r="E103" s="912">
        <v>4.3</v>
      </c>
      <c r="F103" s="1425">
        <f t="shared" si="10"/>
        <v>0.99759999999999993</v>
      </c>
      <c r="G103" s="1428">
        <f t="shared" si="11"/>
        <v>0.59399999999999997</v>
      </c>
      <c r="H103" s="1432"/>
      <c r="I103" s="727" t="s">
        <v>1108</v>
      </c>
      <c r="J103" s="726">
        <v>300</v>
      </c>
      <c r="K103" s="726">
        <v>0</v>
      </c>
      <c r="L103" s="726">
        <v>18</v>
      </c>
      <c r="M103" s="726">
        <v>6</v>
      </c>
    </row>
    <row r="104" spans="1:13" ht="16.5">
      <c r="A104" s="172" t="s">
        <v>810</v>
      </c>
      <c r="B104" s="726">
        <v>74.3</v>
      </c>
      <c r="C104" s="726">
        <v>10.885680000000001</v>
      </c>
      <c r="D104" s="731">
        <f t="shared" si="9"/>
        <v>8.0880602400000008</v>
      </c>
      <c r="E104" s="726">
        <v>5.8</v>
      </c>
      <c r="F104" s="1425">
        <f t="shared" si="10"/>
        <v>4.3094000000000001</v>
      </c>
      <c r="G104" s="1066">
        <f t="shared" si="11"/>
        <v>0.71845488000000002</v>
      </c>
      <c r="H104" s="1431"/>
      <c r="I104" s="727" t="s">
        <v>1112</v>
      </c>
      <c r="J104" s="726">
        <v>300</v>
      </c>
      <c r="K104" s="726">
        <v>0</v>
      </c>
      <c r="L104" s="726">
        <v>18</v>
      </c>
      <c r="M104" s="726">
        <v>6</v>
      </c>
    </row>
    <row r="105" spans="1:13" ht="16.5">
      <c r="A105" s="172" t="s">
        <v>1636</v>
      </c>
      <c r="B105" s="726">
        <v>29</v>
      </c>
      <c r="C105" s="726">
        <v>6.9</v>
      </c>
      <c r="D105" s="731">
        <f t="shared" si="9"/>
        <v>2.0009999999999999</v>
      </c>
      <c r="E105" s="726">
        <v>5.9</v>
      </c>
      <c r="F105" s="1425">
        <f t="shared" si="10"/>
        <v>1.7110000000000003</v>
      </c>
      <c r="G105" s="1066">
        <f t="shared" si="11"/>
        <v>0.45539999999999997</v>
      </c>
      <c r="H105" s="1431"/>
      <c r="I105" s="727" t="s">
        <v>1108</v>
      </c>
      <c r="J105" s="726">
        <v>300</v>
      </c>
      <c r="K105" s="726">
        <v>0</v>
      </c>
      <c r="L105" s="726">
        <v>18</v>
      </c>
      <c r="M105" s="726">
        <v>6</v>
      </c>
    </row>
    <row r="106" spans="1:13" ht="16.5">
      <c r="A106" s="172" t="s">
        <v>1255</v>
      </c>
      <c r="B106" s="726">
        <v>85</v>
      </c>
      <c r="C106" s="726">
        <v>7</v>
      </c>
      <c r="D106" s="731">
        <f t="shared" si="9"/>
        <v>5.95</v>
      </c>
      <c r="E106" s="726">
        <v>5.5</v>
      </c>
      <c r="F106" s="1425">
        <f t="shared" si="10"/>
        <v>4.6749999999999998</v>
      </c>
      <c r="G106" s="1066">
        <f t="shared" si="11"/>
        <v>0.46199999999999997</v>
      </c>
      <c r="H106" s="1431"/>
      <c r="I106" s="727" t="s">
        <v>1108</v>
      </c>
      <c r="J106" s="726">
        <v>300</v>
      </c>
      <c r="K106" s="726">
        <v>0</v>
      </c>
      <c r="L106" s="726">
        <v>18</v>
      </c>
      <c r="M106" s="726">
        <v>6</v>
      </c>
    </row>
    <row r="107" spans="1:13" ht="16.5">
      <c r="A107" s="172" t="s">
        <v>1533</v>
      </c>
      <c r="B107" s="726">
        <v>94.9</v>
      </c>
      <c r="C107" s="726">
        <v>9.127224</v>
      </c>
      <c r="D107" s="731">
        <f t="shared" si="9"/>
        <v>8.6617355759999999</v>
      </c>
      <c r="E107" s="726">
        <v>17.899999999999999</v>
      </c>
      <c r="F107" s="1425">
        <f t="shared" si="10"/>
        <v>16.987100000000002</v>
      </c>
      <c r="G107" s="1066">
        <f t="shared" si="11"/>
        <v>0.60239678399999996</v>
      </c>
      <c r="H107" s="1195"/>
      <c r="I107" s="727" t="s">
        <v>1112</v>
      </c>
      <c r="J107" s="726">
        <v>300</v>
      </c>
      <c r="K107" s="726">
        <v>0</v>
      </c>
      <c r="L107" s="726">
        <v>18</v>
      </c>
      <c r="M107" s="726">
        <v>6</v>
      </c>
    </row>
    <row r="108" spans="1:13" ht="16.5">
      <c r="A108" s="172" t="s">
        <v>1534</v>
      </c>
      <c r="B108" s="726">
        <v>10.8</v>
      </c>
      <c r="C108" s="726">
        <v>10.01</v>
      </c>
      <c r="D108" s="731">
        <f t="shared" si="9"/>
        <v>1.08108</v>
      </c>
      <c r="E108" s="726">
        <v>19.399999999999999</v>
      </c>
      <c r="F108" s="1425">
        <f t="shared" si="10"/>
        <v>2.0952000000000002</v>
      </c>
      <c r="G108" s="1066">
        <f t="shared" si="11"/>
        <v>0.66065999999999991</v>
      </c>
      <c r="H108" s="1195"/>
      <c r="I108" s="727" t="s">
        <v>1551</v>
      </c>
      <c r="J108" s="726">
        <v>300</v>
      </c>
      <c r="K108" s="726">
        <v>0</v>
      </c>
      <c r="L108" s="726">
        <v>18</v>
      </c>
      <c r="M108" s="726">
        <v>6</v>
      </c>
    </row>
    <row r="109" spans="1:13" ht="16.5">
      <c r="A109" s="172" t="s">
        <v>1535</v>
      </c>
      <c r="B109" s="726">
        <v>59</v>
      </c>
      <c r="C109" s="726">
        <v>13.58</v>
      </c>
      <c r="D109" s="731">
        <f t="shared" si="9"/>
        <v>8.0122</v>
      </c>
      <c r="E109" s="726">
        <v>5.0999999999999996</v>
      </c>
      <c r="F109" s="1425">
        <f t="shared" si="10"/>
        <v>3.0089999999999999</v>
      </c>
      <c r="G109" s="1066">
        <f t="shared" si="11"/>
        <v>0.89627999999999997</v>
      </c>
      <c r="H109" s="1195"/>
      <c r="I109" s="727" t="s">
        <v>1551</v>
      </c>
      <c r="J109" s="726">
        <v>300</v>
      </c>
      <c r="K109" s="726">
        <v>0</v>
      </c>
      <c r="L109" s="726">
        <v>18</v>
      </c>
      <c r="M109" s="726">
        <v>6</v>
      </c>
    </row>
    <row r="110" spans="1:13" ht="16.5">
      <c r="A110" s="172" t="s">
        <v>1536</v>
      </c>
      <c r="B110" s="726">
        <v>87.1</v>
      </c>
      <c r="C110" s="726">
        <v>11.35</v>
      </c>
      <c r="D110" s="731">
        <f t="shared" si="9"/>
        <v>9.8858499999999996</v>
      </c>
      <c r="E110" s="726">
        <v>4.5999999999999996</v>
      </c>
      <c r="F110" s="1425">
        <f t="shared" si="10"/>
        <v>4.0065999999999997</v>
      </c>
      <c r="G110" s="1066">
        <f t="shared" si="11"/>
        <v>0.74909999999999999</v>
      </c>
      <c r="H110" s="1195"/>
      <c r="I110" s="727" t="s">
        <v>1551</v>
      </c>
      <c r="J110" s="726">
        <v>300</v>
      </c>
      <c r="K110" s="726">
        <v>0</v>
      </c>
      <c r="L110" s="726">
        <v>18</v>
      </c>
      <c r="M110" s="726">
        <v>6</v>
      </c>
    </row>
    <row r="111" spans="1:13" ht="16.5">
      <c r="A111" s="172" t="s">
        <v>1537</v>
      </c>
      <c r="B111" s="726">
        <v>10.8</v>
      </c>
      <c r="C111" s="726">
        <v>10.01</v>
      </c>
      <c r="D111" s="731">
        <f t="shared" si="9"/>
        <v>1.08108</v>
      </c>
      <c r="E111" s="726">
        <v>19.399999999999999</v>
      </c>
      <c r="F111" s="1425">
        <f t="shared" si="10"/>
        <v>2.0952000000000002</v>
      </c>
      <c r="G111" s="1066">
        <f t="shared" si="11"/>
        <v>0.66065999999999991</v>
      </c>
      <c r="H111" s="1195"/>
      <c r="I111" s="727" t="s">
        <v>1551</v>
      </c>
      <c r="J111" s="726">
        <v>300</v>
      </c>
      <c r="K111" s="726">
        <v>0</v>
      </c>
      <c r="L111" s="726">
        <v>18</v>
      </c>
      <c r="M111" s="726">
        <v>6</v>
      </c>
    </row>
    <row r="112" spans="1:13" ht="16.5">
      <c r="A112" s="172" t="s">
        <v>1538</v>
      </c>
      <c r="B112" s="726">
        <v>44.08</v>
      </c>
      <c r="C112" s="726">
        <v>7.43</v>
      </c>
      <c r="D112" s="731">
        <f t="shared" si="9"/>
        <v>3.2751439999999996</v>
      </c>
      <c r="E112" s="726">
        <v>21</v>
      </c>
      <c r="F112" s="1425">
        <f t="shared" si="10"/>
        <v>9.2568000000000001</v>
      </c>
      <c r="G112" s="1066">
        <f t="shared" si="11"/>
        <v>0.49037999999999998</v>
      </c>
      <c r="H112" s="1195"/>
      <c r="I112" s="727" t="s">
        <v>1552</v>
      </c>
      <c r="J112" s="726">
        <v>300</v>
      </c>
      <c r="K112" s="726">
        <v>0</v>
      </c>
      <c r="L112" s="726">
        <v>18</v>
      </c>
      <c r="M112" s="726">
        <v>6</v>
      </c>
    </row>
    <row r="113" spans="1:13" ht="16.5">
      <c r="A113" s="172" t="s">
        <v>1539</v>
      </c>
      <c r="B113" s="726">
        <v>15</v>
      </c>
      <c r="C113" s="726">
        <v>9.1</v>
      </c>
      <c r="D113" s="731">
        <f t="shared" si="9"/>
        <v>1.365</v>
      </c>
      <c r="E113" s="726">
        <v>22.5</v>
      </c>
      <c r="F113" s="1425">
        <f t="shared" si="10"/>
        <v>3.375</v>
      </c>
      <c r="G113" s="1066">
        <f t="shared" si="11"/>
        <v>0.60059999999999991</v>
      </c>
      <c r="H113" s="1195"/>
      <c r="I113" s="727" t="s">
        <v>1553</v>
      </c>
      <c r="J113" s="726">
        <v>300</v>
      </c>
      <c r="K113" s="726">
        <v>0</v>
      </c>
      <c r="L113" s="726">
        <v>18</v>
      </c>
      <c r="M113" s="726">
        <v>6</v>
      </c>
    </row>
    <row r="114" spans="1:13" ht="16.5">
      <c r="A114" s="172" t="s">
        <v>1630</v>
      </c>
      <c r="B114" s="726">
        <v>24.9</v>
      </c>
      <c r="C114" s="726">
        <v>8.1</v>
      </c>
      <c r="D114" s="731">
        <f t="shared" si="9"/>
        <v>2.0168999999999997</v>
      </c>
      <c r="E114" s="726">
        <v>10.1</v>
      </c>
      <c r="F114" s="1425">
        <f t="shared" si="10"/>
        <v>2.5148999999999999</v>
      </c>
      <c r="G114" s="1066">
        <f t="shared" si="11"/>
        <v>0.53459999999999996</v>
      </c>
      <c r="H114" s="1431">
        <v>0</v>
      </c>
      <c r="I114" s="727" t="s">
        <v>1107</v>
      </c>
      <c r="J114" s="726">
        <v>300</v>
      </c>
      <c r="K114" s="726">
        <v>0</v>
      </c>
      <c r="L114" s="726">
        <v>18</v>
      </c>
      <c r="M114" s="726">
        <v>6</v>
      </c>
    </row>
    <row r="115" spans="1:13" ht="16.5">
      <c r="A115" s="406"/>
      <c r="B115" s="407"/>
      <c r="C115" s="407"/>
      <c r="D115" s="407"/>
      <c r="E115" s="407"/>
      <c r="F115" s="407"/>
      <c r="G115" s="407"/>
      <c r="I115" s="670"/>
    </row>
    <row r="116" spans="1:13" ht="16.5">
      <c r="A116" s="406"/>
      <c r="B116" s="407"/>
      <c r="C116" s="407"/>
      <c r="D116" s="407"/>
      <c r="E116" s="407"/>
      <c r="F116" s="407"/>
      <c r="G116" s="407"/>
      <c r="I116" s="670"/>
    </row>
    <row r="117" spans="1:13" ht="16.5">
      <c r="A117" s="406"/>
      <c r="B117" s="407"/>
      <c r="C117" s="407"/>
      <c r="D117" s="407"/>
      <c r="E117" s="407"/>
      <c r="F117" s="407"/>
      <c r="G117" s="407"/>
      <c r="I117" s="670"/>
    </row>
    <row r="118" spans="1:13" ht="16.5">
      <c r="A118" s="406"/>
      <c r="B118" s="407"/>
      <c r="C118" s="407"/>
      <c r="D118" s="407"/>
      <c r="E118" s="407"/>
      <c r="F118" s="407"/>
      <c r="G118" s="407"/>
      <c r="I118" s="670"/>
    </row>
    <row r="119" spans="1:13" ht="16.5">
      <c r="A119" s="406"/>
      <c r="B119" s="407"/>
      <c r="C119" s="407"/>
      <c r="D119" s="407"/>
      <c r="E119" s="407"/>
      <c r="F119" s="407"/>
      <c r="G119" s="407"/>
      <c r="I119" s="670"/>
    </row>
    <row r="120" spans="1:13" ht="16.5">
      <c r="A120" s="406"/>
      <c r="B120" s="407"/>
      <c r="C120" s="407"/>
      <c r="D120" s="407"/>
      <c r="E120" s="407"/>
      <c r="F120" s="407"/>
      <c r="G120" s="407"/>
      <c r="I120" s="670"/>
    </row>
    <row r="121" spans="1:13" ht="16.5">
      <c r="A121" s="406"/>
      <c r="B121" s="407"/>
      <c r="C121" s="407"/>
      <c r="D121" s="407"/>
      <c r="E121" s="407"/>
      <c r="F121" s="407"/>
      <c r="G121" s="407"/>
      <c r="I121" s="670"/>
    </row>
    <row r="122" spans="1:13" ht="16.5">
      <c r="A122" s="406"/>
      <c r="B122" s="407"/>
      <c r="C122" s="407"/>
      <c r="D122" s="407"/>
      <c r="E122" s="407"/>
      <c r="F122" s="407"/>
      <c r="G122" s="407"/>
      <c r="I122" s="670"/>
    </row>
    <row r="123" spans="1:13" ht="16.5">
      <c r="A123" s="406"/>
      <c r="B123" s="407"/>
      <c r="C123" s="407"/>
      <c r="D123" s="407"/>
      <c r="E123" s="407"/>
      <c r="F123" s="407"/>
      <c r="G123" s="407"/>
      <c r="I123" s="670"/>
    </row>
    <row r="124" spans="1:13" ht="16.5">
      <c r="A124" s="406"/>
      <c r="B124" s="407"/>
      <c r="C124" s="407"/>
      <c r="D124" s="407"/>
      <c r="E124" s="407"/>
      <c r="F124" s="407"/>
      <c r="G124" s="407"/>
      <c r="I124" s="670"/>
    </row>
    <row r="125" spans="1:13" ht="16.5">
      <c r="A125" s="406"/>
      <c r="B125" s="407"/>
      <c r="C125" s="407"/>
      <c r="D125" s="407"/>
      <c r="E125" s="407"/>
      <c r="F125" s="407"/>
      <c r="G125" s="407"/>
      <c r="I125" s="670"/>
    </row>
    <row r="126" spans="1:13" ht="16.5">
      <c r="A126" s="406"/>
      <c r="B126" s="407"/>
      <c r="C126" s="407"/>
      <c r="D126" s="407"/>
      <c r="E126" s="407"/>
      <c r="F126" s="407"/>
      <c r="G126" s="407"/>
      <c r="I126" s="670"/>
    </row>
    <row r="127" spans="1:13" ht="16.5">
      <c r="A127" s="406"/>
      <c r="B127" s="407"/>
      <c r="C127" s="407"/>
      <c r="D127" s="407"/>
      <c r="E127" s="407"/>
      <c r="F127" s="407"/>
      <c r="G127" s="407"/>
      <c r="I127" s="670"/>
    </row>
    <row r="128" spans="1:13" ht="16.5">
      <c r="A128" s="406"/>
      <c r="B128" s="407"/>
      <c r="C128" s="407"/>
      <c r="D128" s="407"/>
      <c r="E128" s="407"/>
      <c r="F128" s="407"/>
      <c r="G128" s="407"/>
      <c r="I128" s="670"/>
    </row>
    <row r="129" spans="1:9" ht="16.5">
      <c r="A129" s="406"/>
      <c r="B129" s="407"/>
      <c r="C129" s="407"/>
      <c r="D129" s="407"/>
      <c r="E129" s="407"/>
      <c r="F129" s="407"/>
      <c r="G129" s="407"/>
      <c r="I129" s="670"/>
    </row>
    <row r="130" spans="1:9" ht="16.5">
      <c r="A130" s="406"/>
      <c r="B130" s="407"/>
      <c r="C130" s="407"/>
      <c r="D130" s="407"/>
      <c r="E130" s="407"/>
      <c r="F130" s="407"/>
      <c r="G130" s="407"/>
      <c r="I130" s="670"/>
    </row>
    <row r="131" spans="1:9" ht="16.5">
      <c r="A131" s="406"/>
      <c r="B131" s="407"/>
      <c r="C131" s="407"/>
      <c r="D131" s="407"/>
      <c r="E131" s="407"/>
      <c r="F131" s="407"/>
      <c r="G131" s="407"/>
      <c r="I131" s="670"/>
    </row>
    <row r="132" spans="1:9" ht="16.5">
      <c r="A132" s="406"/>
      <c r="B132" s="407"/>
      <c r="C132" s="407"/>
      <c r="D132" s="407"/>
      <c r="E132" s="407"/>
      <c r="F132" s="407"/>
      <c r="G132" s="407"/>
      <c r="I132" s="670"/>
    </row>
    <row r="133" spans="1:9" ht="16.5">
      <c r="A133" s="406"/>
      <c r="B133" s="407"/>
      <c r="C133" s="407"/>
      <c r="D133" s="407"/>
      <c r="E133" s="407"/>
      <c r="F133" s="407"/>
      <c r="G133" s="407"/>
      <c r="I133" s="670"/>
    </row>
    <row r="134" spans="1:9" ht="16.5">
      <c r="A134" s="406"/>
      <c r="B134" s="407"/>
      <c r="C134" s="407"/>
      <c r="D134" s="407"/>
      <c r="E134" s="407"/>
      <c r="F134" s="407"/>
      <c r="G134" s="407"/>
      <c r="I134" s="670"/>
    </row>
    <row r="135" spans="1:9" ht="16.5">
      <c r="A135" s="406"/>
      <c r="B135" s="407"/>
      <c r="C135" s="407"/>
      <c r="D135" s="407"/>
      <c r="E135" s="407"/>
      <c r="F135" s="407"/>
      <c r="G135" s="407"/>
      <c r="I135" s="670"/>
    </row>
    <row r="136" spans="1:9" ht="16.5">
      <c r="A136" s="406"/>
      <c r="B136" s="407"/>
      <c r="C136" s="407"/>
      <c r="D136" s="407"/>
      <c r="E136" s="407"/>
      <c r="F136" s="407"/>
      <c r="G136" s="407"/>
      <c r="I136" s="670"/>
    </row>
    <row r="137" spans="1:9" ht="16.5">
      <c r="A137" s="406"/>
      <c r="B137" s="407"/>
      <c r="C137" s="407"/>
      <c r="D137" s="407"/>
      <c r="E137" s="407"/>
      <c r="F137" s="407"/>
      <c r="G137" s="407"/>
      <c r="I137" s="670"/>
    </row>
    <row r="138" spans="1:9" ht="16.5">
      <c r="A138" s="406"/>
      <c r="B138" s="407"/>
      <c r="C138" s="407"/>
      <c r="D138" s="407"/>
      <c r="E138" s="407"/>
      <c r="F138" s="407"/>
      <c r="G138" s="407"/>
      <c r="I138" s="670"/>
    </row>
    <row r="139" spans="1:9" ht="16.5">
      <c r="A139" s="406"/>
      <c r="B139" s="407"/>
      <c r="C139" s="407"/>
      <c r="D139" s="407"/>
      <c r="E139" s="407"/>
      <c r="F139" s="407"/>
      <c r="G139" s="407"/>
      <c r="I139" s="670"/>
    </row>
    <row r="140" spans="1:9" ht="16.5">
      <c r="A140" s="406"/>
      <c r="B140" s="407"/>
      <c r="C140" s="407"/>
      <c r="D140" s="407"/>
      <c r="E140" s="407"/>
      <c r="F140" s="407"/>
      <c r="G140" s="407"/>
      <c r="I140" s="670"/>
    </row>
  </sheetData>
  <sheetProtection selectLockedCells="1"/>
  <pageMargins left="0.75" right="0.75" top="1" bottom="1" header="0.5" footer="0.5"/>
  <pageSetup paperSize="9" orientation="portrait" horizontalDpi="4294967292" verticalDpi="4294967292" r:id="rId1"/>
  <ignoredErrors>
    <ignoredError sqref="F13:F114" calculatedColumn="1"/>
  </ignoredError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3"/>
  <sheetViews>
    <sheetView workbookViewId="0">
      <selection activeCell="D7" sqref="D7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441" customFormat="1">
      <c r="A1" s="441" t="s">
        <v>1179</v>
      </c>
      <c r="B1" s="442"/>
    </row>
    <row r="2" spans="1:5">
      <c r="B2" s="37"/>
      <c r="C2" s="37"/>
      <c r="D2" s="37"/>
      <c r="E2" s="37"/>
    </row>
    <row r="3" spans="1:5">
      <c r="B3" s="516" t="s">
        <v>1182</v>
      </c>
      <c r="C3" s="13" t="s">
        <v>1314</v>
      </c>
      <c r="D3" s="13" t="s">
        <v>1183</v>
      </c>
    </row>
    <row r="4" spans="1:5">
      <c r="B4" s="17" t="s">
        <v>1187</v>
      </c>
      <c r="C4" s="321">
        <v>5.7999999999999996E-3</v>
      </c>
      <c r="D4" s="321" t="s">
        <v>1708</v>
      </c>
    </row>
    <row r="5" spans="1:5">
      <c r="B5" s="17" t="s">
        <v>1188</v>
      </c>
      <c r="C5" s="321"/>
      <c r="D5" s="321"/>
    </row>
    <row r="6" spans="1:5">
      <c r="B6" s="17" t="s">
        <v>1189</v>
      </c>
      <c r="C6" s="321"/>
      <c r="D6" s="321"/>
    </row>
    <row r="7" spans="1:5">
      <c r="B7" s="17" t="s">
        <v>1190</v>
      </c>
      <c r="C7" s="321">
        <v>3</v>
      </c>
      <c r="D7" s="321" t="s">
        <v>1708</v>
      </c>
    </row>
    <row r="8" spans="1:5">
      <c r="B8" s="17" t="s">
        <v>1191</v>
      </c>
      <c r="C8" s="321"/>
      <c r="D8" s="321"/>
    </row>
    <row r="9" spans="1:5">
      <c r="B9" s="17" t="s">
        <v>1192</v>
      </c>
      <c r="C9" s="321"/>
      <c r="D9" s="321"/>
    </row>
    <row r="10" spans="1:5">
      <c r="B10" s="17" t="s">
        <v>1201</v>
      </c>
      <c r="C10" s="321">
        <v>0.35</v>
      </c>
      <c r="D10" s="321" t="s">
        <v>1708</v>
      </c>
    </row>
    <row r="11" spans="1:5">
      <c r="B11" s="17" t="s">
        <v>1202</v>
      </c>
      <c r="C11" s="321"/>
      <c r="D11" s="321"/>
    </row>
    <row r="12" spans="1:5">
      <c r="B12" s="17" t="s">
        <v>1193</v>
      </c>
      <c r="C12" s="321">
        <v>3.5</v>
      </c>
      <c r="D12" s="321" t="s">
        <v>1707</v>
      </c>
    </row>
    <row r="13" spans="1:5">
      <c r="B13" s="506" t="s">
        <v>1664</v>
      </c>
      <c r="C13" s="321"/>
      <c r="D13" s="321"/>
    </row>
    <row r="14" spans="1:5" s="925" customFormat="1">
      <c r="B14" s="506" t="s">
        <v>1032</v>
      </c>
      <c r="C14" s="321">
        <v>0.47</v>
      </c>
      <c r="D14" s="321" t="s">
        <v>1708</v>
      </c>
    </row>
    <row r="15" spans="1:5" s="925" customFormat="1">
      <c r="B15" s="506" t="s">
        <v>1035</v>
      </c>
      <c r="C15" s="321"/>
      <c r="D15" s="321" t="s">
        <v>1708</v>
      </c>
    </row>
    <row r="16" spans="1:5">
      <c r="B16" s="1100"/>
    </row>
    <row r="17" spans="2:3" s="563" customFormat="1">
      <c r="B17" s="563" t="s">
        <v>1234</v>
      </c>
    </row>
    <row r="18" spans="2:3" s="562" customFormat="1">
      <c r="B18" s="562" t="s">
        <v>1235</v>
      </c>
      <c r="C18" s="602">
        <v>52.09</v>
      </c>
    </row>
    <row r="19" spans="2:3">
      <c r="B19" s="1100"/>
      <c r="C19" s="1197"/>
    </row>
    <row r="20" spans="2:3" s="441" customFormat="1">
      <c r="B20" s="441" t="s">
        <v>1147</v>
      </c>
      <c r="C20" s="1438"/>
    </row>
    <row r="21" spans="2:3">
      <c r="B21" s="1100"/>
      <c r="C21" s="1197"/>
    </row>
    <row r="22" spans="2:3">
      <c r="B22" s="1100" t="s">
        <v>1194</v>
      </c>
      <c r="C22" s="600">
        <v>0.1</v>
      </c>
    </row>
    <row r="23" spans="2:3">
      <c r="B23" s="1100" t="s">
        <v>1195</v>
      </c>
      <c r="C23" s="601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351"/>
  <sheetViews>
    <sheetView workbookViewId="0">
      <selection activeCell="D12" sqref="D12"/>
    </sheetView>
  </sheetViews>
  <sheetFormatPr defaultColWidth="11" defaultRowHeight="15.75"/>
  <cols>
    <col min="1" max="1" width="33.375" style="144" customWidth="1"/>
    <col min="2" max="2" width="43" style="144" customWidth="1"/>
    <col min="3" max="3" width="25.125" style="144" customWidth="1"/>
    <col min="4" max="4" width="54.75" style="144" customWidth="1"/>
    <col min="5" max="5" width="21.75" style="144" customWidth="1"/>
    <col min="6" max="6" width="24.625" style="144" customWidth="1"/>
    <col min="7" max="7" width="16.375" style="144" customWidth="1"/>
    <col min="8" max="8" width="12.125" style="144" customWidth="1"/>
    <col min="9" max="9" width="102.25" style="144" bestFit="1" customWidth="1"/>
    <col min="10" max="10" width="22" style="144" customWidth="1"/>
    <col min="11" max="12" width="11" style="144" customWidth="1"/>
    <col min="13" max="13" width="13" style="144" customWidth="1"/>
    <col min="14" max="14" width="11" style="226" customWidth="1"/>
    <col min="15" max="15" width="16" style="144" customWidth="1"/>
    <col min="16" max="16" width="10.125" style="144" bestFit="1" customWidth="1"/>
    <col min="17" max="25" width="10.125" style="144" customWidth="1"/>
    <col min="26" max="26" width="11" style="144"/>
    <col min="27" max="27" width="15.375" style="227" bestFit="1" customWidth="1"/>
    <col min="28" max="28" width="11" style="144"/>
    <col min="29" max="29" width="11.375" style="144" bestFit="1" customWidth="1"/>
    <col min="30" max="35" width="11" style="144"/>
    <col min="36" max="36" width="15.375" style="225" bestFit="1" customWidth="1"/>
    <col min="37" max="16384" width="11" style="144"/>
  </cols>
  <sheetData>
    <row r="1" spans="1:11">
      <c r="A1" s="144" t="s">
        <v>79</v>
      </c>
    </row>
    <row r="2" spans="1:11">
      <c r="A2" s="144" t="s">
        <v>69</v>
      </c>
      <c r="I2" s="870"/>
      <c r="J2" s="902"/>
      <c r="K2" s="870"/>
    </row>
    <row r="3" spans="1:11">
      <c r="A3" s="1082" t="s">
        <v>96</v>
      </c>
      <c r="I3" s="870"/>
      <c r="J3" s="902"/>
      <c r="K3" s="870"/>
    </row>
    <row r="4" spans="1:11">
      <c r="A4" s="224" t="s">
        <v>1639</v>
      </c>
      <c r="I4" s="870"/>
      <c r="J4" s="902"/>
      <c r="K4" s="870"/>
    </row>
    <row r="5" spans="1:11">
      <c r="A5" s="224" t="s">
        <v>1818</v>
      </c>
      <c r="I5" s="870"/>
      <c r="J5" s="902"/>
      <c r="K5" s="870"/>
    </row>
    <row r="6" spans="1:11">
      <c r="I6" s="870"/>
      <c r="J6" s="902"/>
      <c r="K6" s="870"/>
    </row>
    <row r="7" spans="1:11">
      <c r="A7" s="144" t="s">
        <v>78</v>
      </c>
      <c r="I7" s="870"/>
      <c r="J7" s="902"/>
      <c r="K7" s="870"/>
    </row>
    <row r="8" spans="1:11">
      <c r="I8" s="870"/>
      <c r="J8" s="902"/>
      <c r="K8" s="870"/>
    </row>
    <row r="9" spans="1:11">
      <c r="A9" s="224" t="s">
        <v>1823</v>
      </c>
      <c r="B9" s="1082" t="s">
        <v>1826</v>
      </c>
      <c r="C9" s="1082" t="s">
        <v>1825</v>
      </c>
      <c r="D9" s="224" t="s">
        <v>1824</v>
      </c>
      <c r="E9" s="224" t="s">
        <v>0</v>
      </c>
      <c r="F9" s="1082" t="s">
        <v>77</v>
      </c>
      <c r="G9" s="1082" t="s">
        <v>76</v>
      </c>
      <c r="I9" s="870"/>
      <c r="J9" s="902"/>
      <c r="K9" s="870"/>
    </row>
    <row r="10" spans="1:11">
      <c r="A10" s="224" t="s">
        <v>1639</v>
      </c>
      <c r="B10" s="1025" t="s">
        <v>1813</v>
      </c>
      <c r="C10" s="1082" t="s">
        <v>91</v>
      </c>
      <c r="D10" s="1027" t="str">
        <f>A10 &amp;"|" &amp;B10</f>
        <v>LATIN AMERICA|Cows (local)</v>
      </c>
      <c r="E10" s="224">
        <v>64</v>
      </c>
      <c r="F10" s="1082" t="s">
        <v>55</v>
      </c>
      <c r="G10" s="1082" t="s">
        <v>92</v>
      </c>
      <c r="I10" s="870"/>
      <c r="J10" s="902"/>
      <c r="K10" s="870"/>
    </row>
    <row r="11" spans="1:11">
      <c r="A11" s="224" t="s">
        <v>1639</v>
      </c>
      <c r="B11" s="1025" t="s">
        <v>1814</v>
      </c>
      <c r="C11" s="1082" t="s">
        <v>75</v>
      </c>
      <c r="D11" s="1027" t="str">
        <f t="shared" ref="D11:D54" si="0">A11 &amp;"|" &amp;B11</f>
        <v>LATIN AMERICA|Cows (improved)</v>
      </c>
      <c r="E11" s="224">
        <v>72</v>
      </c>
      <c r="F11" s="1082" t="s">
        <v>55</v>
      </c>
      <c r="G11" s="1082" t="s">
        <v>642</v>
      </c>
      <c r="I11" s="870"/>
      <c r="J11" s="902"/>
      <c r="K11" s="870"/>
    </row>
    <row r="12" spans="1:11">
      <c r="A12" s="224" t="s">
        <v>1639</v>
      </c>
      <c r="B12" s="1025" t="s">
        <v>1067</v>
      </c>
      <c r="C12" s="1082" t="s">
        <v>93</v>
      </c>
      <c r="D12" s="1027" t="str">
        <f t="shared" si="0"/>
        <v>LATIN AMERICA|Adult cattle - male</v>
      </c>
      <c r="E12" s="1095">
        <v>61</v>
      </c>
      <c r="F12" s="1082" t="s">
        <v>55</v>
      </c>
      <c r="G12" s="1082" t="s">
        <v>92</v>
      </c>
      <c r="I12" s="870"/>
      <c r="J12" s="902"/>
      <c r="K12" s="870"/>
    </row>
    <row r="13" spans="1:11">
      <c r="A13" s="224" t="s">
        <v>1639</v>
      </c>
      <c r="B13" s="1025" t="s">
        <v>1018</v>
      </c>
      <c r="C13" s="1082" t="s">
        <v>94</v>
      </c>
      <c r="D13" s="1027" t="str">
        <f t="shared" si="0"/>
        <v>LATIN AMERICA|Steers/heifers</v>
      </c>
      <c r="E13" s="1095">
        <v>61</v>
      </c>
      <c r="F13" s="1082" t="s">
        <v>55</v>
      </c>
      <c r="G13" s="1082" t="s">
        <v>92</v>
      </c>
      <c r="I13" s="870"/>
      <c r="J13" s="902"/>
      <c r="K13" s="870"/>
    </row>
    <row r="14" spans="1:11">
      <c r="A14" s="224" t="s">
        <v>1639</v>
      </c>
      <c r="B14" s="1025" t="s">
        <v>631</v>
      </c>
      <c r="C14" s="1082" t="s">
        <v>95</v>
      </c>
      <c r="D14" s="1027" t="str">
        <f t="shared" si="0"/>
        <v>LATIN AMERICA|Calves</v>
      </c>
      <c r="E14" s="1095">
        <v>49</v>
      </c>
      <c r="F14" s="1082" t="s">
        <v>55</v>
      </c>
      <c r="G14" s="1082" t="s">
        <v>92</v>
      </c>
      <c r="I14" s="870"/>
      <c r="J14" s="902"/>
      <c r="K14" s="870"/>
    </row>
    <row r="15" spans="1:11">
      <c r="A15" s="224" t="s">
        <v>1639</v>
      </c>
      <c r="B15" s="1025" t="s">
        <v>1815</v>
      </c>
      <c r="C15" s="1082" t="s">
        <v>93</v>
      </c>
      <c r="D15" s="1027" t="str">
        <f t="shared" si="0"/>
        <v>LATIN AMERICA|Buffalo (dairy)</v>
      </c>
      <c r="E15" s="1095">
        <v>61</v>
      </c>
      <c r="F15" s="1082" t="s">
        <v>55</v>
      </c>
      <c r="G15" s="1082" t="s">
        <v>92</v>
      </c>
      <c r="I15" s="870"/>
      <c r="J15" s="902"/>
      <c r="K15" s="870"/>
    </row>
    <row r="16" spans="1:11" ht="15" customHeight="1">
      <c r="A16" s="224" t="s">
        <v>1639</v>
      </c>
      <c r="B16" s="1025" t="s">
        <v>1766</v>
      </c>
      <c r="C16" s="1082" t="s">
        <v>95</v>
      </c>
      <c r="D16" s="1027" t="str">
        <f t="shared" si="0"/>
        <v>LATIN AMERICA|Buffalo steers/heifers</v>
      </c>
      <c r="E16" s="1095">
        <v>49</v>
      </c>
      <c r="F16" s="1082" t="s">
        <v>55</v>
      </c>
      <c r="G16" s="1082" t="s">
        <v>74</v>
      </c>
      <c r="I16" s="870"/>
      <c r="J16" s="902"/>
      <c r="K16" s="870"/>
    </row>
    <row r="17" spans="1:11" ht="15" customHeight="1">
      <c r="A17" s="224" t="s">
        <v>1639</v>
      </c>
      <c r="B17" s="1025" t="s">
        <v>1767</v>
      </c>
      <c r="C17" s="1082" t="s">
        <v>95</v>
      </c>
      <c r="D17" s="1027" t="str">
        <f t="shared" si="0"/>
        <v>LATIN AMERICA|Buffalo calves</v>
      </c>
      <c r="E17" s="1095">
        <v>49</v>
      </c>
      <c r="F17" s="1082" t="s">
        <v>55</v>
      </c>
      <c r="G17" s="1082" t="s">
        <v>74</v>
      </c>
      <c r="I17" s="870"/>
      <c r="J17" s="870"/>
      <c r="K17" s="870"/>
    </row>
    <row r="18" spans="1:11" ht="15" customHeight="1">
      <c r="A18" s="224" t="s">
        <v>1639</v>
      </c>
      <c r="B18" s="1025" t="s">
        <v>1770</v>
      </c>
      <c r="C18" s="1082" t="s">
        <v>48</v>
      </c>
      <c r="D18" s="1027" t="str">
        <f t="shared" si="0"/>
        <v>LATIN AMERICA|Sheep/Goats - Ewes/Does</v>
      </c>
      <c r="E18" s="1095">
        <v>5</v>
      </c>
      <c r="F18" s="1082" t="s">
        <v>55</v>
      </c>
      <c r="G18" s="1082" t="s">
        <v>74</v>
      </c>
      <c r="I18" s="870"/>
      <c r="J18" s="870"/>
      <c r="K18" s="870"/>
    </row>
    <row r="19" spans="1:11" ht="15" customHeight="1">
      <c r="A19" s="224" t="s">
        <v>1639</v>
      </c>
      <c r="B19" s="1025" t="s">
        <v>1772</v>
      </c>
      <c r="C19" s="1082" t="s">
        <v>48</v>
      </c>
      <c r="D19" s="1027" t="str">
        <f t="shared" si="0"/>
        <v>LATIN AMERICA|Sheep/Goats - Breeding Rams/Bucks</v>
      </c>
      <c r="E19" s="1095">
        <v>5</v>
      </c>
      <c r="F19" s="1082" t="s">
        <v>55</v>
      </c>
      <c r="G19" s="1082" t="s">
        <v>92</v>
      </c>
      <c r="I19" s="1019"/>
      <c r="J19" s="870"/>
      <c r="K19" s="870"/>
    </row>
    <row r="20" spans="1:11">
      <c r="A20" s="224" t="s">
        <v>1639</v>
      </c>
      <c r="B20" s="1025" t="s">
        <v>1771</v>
      </c>
      <c r="C20" s="1082" t="s">
        <v>48</v>
      </c>
      <c r="D20" s="1027" t="str">
        <f t="shared" si="0"/>
        <v>LATIN AMERICA|Sheep/Goats - Fattening Rams/Bucks</v>
      </c>
      <c r="E20" s="1095">
        <v>5</v>
      </c>
      <c r="F20" s="1082" t="s">
        <v>55</v>
      </c>
      <c r="G20" s="1082" t="s">
        <v>92</v>
      </c>
      <c r="I20" s="1019"/>
      <c r="J20" s="870"/>
      <c r="K20" s="870"/>
    </row>
    <row r="21" spans="1:11">
      <c r="A21" s="224" t="s">
        <v>1639</v>
      </c>
      <c r="B21" s="1025" t="s">
        <v>1773</v>
      </c>
      <c r="C21" s="1082" t="s">
        <v>48</v>
      </c>
      <c r="D21" s="1027" t="str">
        <f t="shared" si="0"/>
        <v>LATIN AMERICA|Sheep/Goats - Lambs/Kids</v>
      </c>
      <c r="E21" s="1095">
        <v>5</v>
      </c>
      <c r="F21" s="1082" t="s">
        <v>55</v>
      </c>
      <c r="G21" s="1082" t="s">
        <v>92</v>
      </c>
      <c r="I21" s="1019"/>
      <c r="J21" s="870"/>
      <c r="K21" s="870"/>
    </row>
    <row r="22" spans="1:11">
      <c r="A22" s="224" t="s">
        <v>1639</v>
      </c>
      <c r="B22" s="1025" t="s">
        <v>1669</v>
      </c>
      <c r="C22" s="1082" t="s">
        <v>1657</v>
      </c>
      <c r="D22" s="1027" t="str">
        <f t="shared" si="0"/>
        <v>LATIN AMERICA|Pigs - lactating/pregnant sows</v>
      </c>
      <c r="E22" s="1095">
        <v>1</v>
      </c>
      <c r="F22" s="1082" t="s">
        <v>55</v>
      </c>
      <c r="G22" s="1082" t="s">
        <v>74</v>
      </c>
      <c r="I22" s="1019"/>
      <c r="J22" s="870"/>
      <c r="K22" s="870"/>
    </row>
    <row r="23" spans="1:11">
      <c r="A23" s="224" t="s">
        <v>1639</v>
      </c>
      <c r="B23" s="1025" t="s">
        <v>1668</v>
      </c>
      <c r="C23" s="1082" t="s">
        <v>1657</v>
      </c>
      <c r="D23" s="1027" t="str">
        <f t="shared" si="0"/>
        <v>LATIN AMERICA|Pigs - dry sows/boars</v>
      </c>
      <c r="E23" s="1095">
        <v>1</v>
      </c>
      <c r="F23" s="1082" t="s">
        <v>55</v>
      </c>
      <c r="G23" s="1082" t="s">
        <v>74</v>
      </c>
      <c r="I23" s="1020"/>
      <c r="J23" s="870"/>
      <c r="K23" s="870"/>
    </row>
    <row r="24" spans="1:11">
      <c r="A24" s="224" t="s">
        <v>1639</v>
      </c>
      <c r="B24" s="1025" t="s">
        <v>1667</v>
      </c>
      <c r="C24" s="1082" t="s">
        <v>1657</v>
      </c>
      <c r="D24" s="1027" t="str">
        <f t="shared" si="0"/>
        <v>LATIN AMERICA|Pigs - growers</v>
      </c>
      <c r="E24" s="1095">
        <v>1</v>
      </c>
      <c r="F24" s="1082" t="s">
        <v>55</v>
      </c>
      <c r="G24" s="1082" t="s">
        <v>74</v>
      </c>
      <c r="I24" s="1020"/>
      <c r="J24" s="870"/>
      <c r="K24" s="870"/>
    </row>
    <row r="25" spans="1:11">
      <c r="A25" s="1082" t="s">
        <v>96</v>
      </c>
      <c r="B25" s="1025" t="s">
        <v>1813</v>
      </c>
      <c r="C25" s="1082" t="s">
        <v>91</v>
      </c>
      <c r="D25" s="1027" t="str">
        <f t="shared" si="0"/>
        <v>AFRICA|Cows (local)</v>
      </c>
      <c r="E25" s="1082">
        <v>32</v>
      </c>
      <c r="F25" s="1082" t="s">
        <v>55</v>
      </c>
      <c r="G25" s="1082" t="s">
        <v>92</v>
      </c>
      <c r="I25" s="1020"/>
      <c r="J25" s="870"/>
      <c r="K25" s="870"/>
    </row>
    <row r="26" spans="1:11">
      <c r="A26" s="1082" t="s">
        <v>96</v>
      </c>
      <c r="B26" s="1025" t="s">
        <v>1814</v>
      </c>
      <c r="C26" s="1082" t="s">
        <v>75</v>
      </c>
      <c r="D26" s="1027" t="str">
        <f t="shared" si="0"/>
        <v>AFRICA|Cows (improved)</v>
      </c>
      <c r="E26" s="1082">
        <v>46</v>
      </c>
      <c r="F26" s="1082" t="s">
        <v>55</v>
      </c>
      <c r="G26" s="1082" t="s">
        <v>642</v>
      </c>
      <c r="I26" s="1020"/>
      <c r="J26" s="870"/>
      <c r="K26" s="870"/>
    </row>
    <row r="27" spans="1:11">
      <c r="A27" s="1082" t="s">
        <v>96</v>
      </c>
      <c r="B27" s="1025" t="s">
        <v>1067</v>
      </c>
      <c r="C27" s="1082" t="s">
        <v>93</v>
      </c>
      <c r="D27" s="1027" t="str">
        <f t="shared" si="0"/>
        <v>AFRICA|Adult cattle - male</v>
      </c>
      <c r="E27" s="1082">
        <v>41</v>
      </c>
      <c r="F27" s="1082" t="s">
        <v>55</v>
      </c>
      <c r="G27" s="1082" t="s">
        <v>92</v>
      </c>
      <c r="H27" s="870"/>
      <c r="I27" s="1020"/>
      <c r="J27" s="870"/>
      <c r="K27" s="870"/>
    </row>
    <row r="28" spans="1:11">
      <c r="A28" s="1082" t="s">
        <v>96</v>
      </c>
      <c r="B28" s="1025" t="s">
        <v>1018</v>
      </c>
      <c r="C28" s="1082" t="s">
        <v>94</v>
      </c>
      <c r="D28" s="1027" t="str">
        <f t="shared" si="0"/>
        <v>AFRICA|Steers/heifers</v>
      </c>
      <c r="E28" s="1082">
        <v>41</v>
      </c>
      <c r="F28" s="1082" t="s">
        <v>55</v>
      </c>
      <c r="G28" s="1082" t="s">
        <v>92</v>
      </c>
      <c r="H28" s="870"/>
      <c r="I28" s="870"/>
      <c r="J28" s="870"/>
      <c r="K28" s="870"/>
    </row>
    <row r="29" spans="1:11">
      <c r="A29" s="1082" t="s">
        <v>96</v>
      </c>
      <c r="B29" s="1025" t="s">
        <v>631</v>
      </c>
      <c r="C29" s="1082" t="s">
        <v>95</v>
      </c>
      <c r="D29" s="1027" t="str">
        <f t="shared" si="0"/>
        <v>AFRICA|Calves</v>
      </c>
      <c r="E29" s="1095">
        <v>16</v>
      </c>
      <c r="F29" s="1082" t="s">
        <v>55</v>
      </c>
      <c r="G29" s="1082" t="s">
        <v>92</v>
      </c>
      <c r="H29" s="870"/>
      <c r="I29" s="870"/>
      <c r="J29" s="870"/>
      <c r="K29" s="870"/>
    </row>
    <row r="30" spans="1:11">
      <c r="A30" s="1082" t="s">
        <v>96</v>
      </c>
      <c r="B30" s="1025" t="s">
        <v>1815</v>
      </c>
      <c r="C30" s="1082" t="s">
        <v>93</v>
      </c>
      <c r="D30" s="1027" t="str">
        <f t="shared" si="0"/>
        <v>AFRICA|Buffalo (dairy)</v>
      </c>
      <c r="E30" s="1095">
        <v>49</v>
      </c>
      <c r="F30" s="1082" t="s">
        <v>55</v>
      </c>
      <c r="G30" s="1082" t="s">
        <v>92</v>
      </c>
      <c r="H30" s="1019"/>
      <c r="I30" s="870"/>
      <c r="J30" s="870"/>
      <c r="K30" s="870"/>
    </row>
    <row r="31" spans="1:11">
      <c r="A31" s="1082" t="s">
        <v>96</v>
      </c>
      <c r="B31" s="1025" t="s">
        <v>1766</v>
      </c>
      <c r="C31" s="1082" t="s">
        <v>95</v>
      </c>
      <c r="D31" s="1027" t="str">
        <f t="shared" si="0"/>
        <v>AFRICA|Buffalo steers/heifers</v>
      </c>
      <c r="E31" s="1095">
        <v>16</v>
      </c>
      <c r="F31" s="1082" t="s">
        <v>55</v>
      </c>
      <c r="G31" s="1082" t="s">
        <v>74</v>
      </c>
      <c r="H31" s="1019"/>
      <c r="I31" s="870"/>
      <c r="J31" s="870"/>
      <c r="K31" s="870"/>
    </row>
    <row r="32" spans="1:11">
      <c r="A32" s="1082" t="s">
        <v>96</v>
      </c>
      <c r="B32" s="1025" t="s">
        <v>1767</v>
      </c>
      <c r="C32" s="1082" t="s">
        <v>95</v>
      </c>
      <c r="D32" s="1027" t="str">
        <f t="shared" si="0"/>
        <v>AFRICA|Buffalo calves</v>
      </c>
      <c r="E32" s="1095">
        <v>16</v>
      </c>
      <c r="F32" s="1082" t="s">
        <v>55</v>
      </c>
      <c r="G32" s="1082" t="s">
        <v>74</v>
      </c>
      <c r="H32" s="1019"/>
      <c r="I32" s="870"/>
      <c r="J32" s="870"/>
      <c r="K32" s="870"/>
    </row>
    <row r="33" spans="1:11">
      <c r="A33" s="1082" t="s">
        <v>96</v>
      </c>
      <c r="B33" s="1025" t="s">
        <v>1770</v>
      </c>
      <c r="C33" s="1082" t="s">
        <v>48</v>
      </c>
      <c r="D33" s="1027" t="str">
        <f t="shared" si="0"/>
        <v>AFRICA|Sheep/Goats - Ewes/Does</v>
      </c>
      <c r="E33" s="1095">
        <v>5</v>
      </c>
      <c r="F33" s="1082" t="s">
        <v>55</v>
      </c>
      <c r="G33" s="1082" t="s">
        <v>74</v>
      </c>
      <c r="H33" s="1019"/>
      <c r="I33" s="870"/>
      <c r="J33" s="870"/>
      <c r="K33" s="870"/>
    </row>
    <row r="34" spans="1:11">
      <c r="A34" s="1082" t="s">
        <v>96</v>
      </c>
      <c r="B34" s="1025" t="s">
        <v>1772</v>
      </c>
      <c r="C34" s="1082" t="s">
        <v>48</v>
      </c>
      <c r="D34" s="1027" t="str">
        <f t="shared" si="0"/>
        <v>AFRICA|Sheep/Goats - Breeding Rams/Bucks</v>
      </c>
      <c r="E34" s="1095">
        <v>5</v>
      </c>
      <c r="F34" s="1082" t="s">
        <v>55</v>
      </c>
      <c r="G34" s="1082" t="s">
        <v>92</v>
      </c>
      <c r="H34" s="1020"/>
      <c r="I34" s="870"/>
      <c r="J34" s="870"/>
      <c r="K34" s="870"/>
    </row>
    <row r="35" spans="1:11">
      <c r="A35" s="1082" t="s">
        <v>96</v>
      </c>
      <c r="B35" s="1025" t="s">
        <v>1771</v>
      </c>
      <c r="C35" s="1082" t="s">
        <v>48</v>
      </c>
      <c r="D35" s="1027" t="str">
        <f t="shared" si="0"/>
        <v>AFRICA|Sheep/Goats - Fattening Rams/Bucks</v>
      </c>
      <c r="E35" s="1095">
        <v>5</v>
      </c>
      <c r="F35" s="1082" t="s">
        <v>55</v>
      </c>
      <c r="G35" s="1082" t="s">
        <v>92</v>
      </c>
      <c r="H35" s="1020"/>
      <c r="I35" s="870"/>
      <c r="J35" s="870"/>
      <c r="K35" s="870"/>
    </row>
    <row r="36" spans="1:11">
      <c r="A36" s="1082" t="s">
        <v>96</v>
      </c>
      <c r="B36" s="1025" t="s">
        <v>1773</v>
      </c>
      <c r="C36" s="1082" t="s">
        <v>48</v>
      </c>
      <c r="D36" s="1027" t="str">
        <f t="shared" si="0"/>
        <v>AFRICA|Sheep/Goats - Lambs/Kids</v>
      </c>
      <c r="E36" s="1095">
        <v>5</v>
      </c>
      <c r="F36" s="1082" t="s">
        <v>55</v>
      </c>
      <c r="G36" s="1082" t="s">
        <v>92</v>
      </c>
      <c r="H36" s="1020"/>
      <c r="I36" s="870"/>
      <c r="J36" s="870"/>
      <c r="K36" s="870"/>
    </row>
    <row r="37" spans="1:11">
      <c r="A37" s="1082" t="s">
        <v>96</v>
      </c>
      <c r="B37" s="1025" t="s">
        <v>1669</v>
      </c>
      <c r="C37" s="1082" t="s">
        <v>1657</v>
      </c>
      <c r="D37" s="1027" t="str">
        <f t="shared" si="0"/>
        <v>AFRICA|Pigs - lactating/pregnant sows</v>
      </c>
      <c r="E37" s="1095">
        <v>1</v>
      </c>
      <c r="F37" s="1082" t="s">
        <v>55</v>
      </c>
      <c r="G37" s="1082" t="s">
        <v>74</v>
      </c>
      <c r="H37" s="870"/>
      <c r="I37" s="870"/>
      <c r="J37" s="870"/>
      <c r="K37" s="870"/>
    </row>
    <row r="38" spans="1:11">
      <c r="A38" s="1082" t="s">
        <v>96</v>
      </c>
      <c r="B38" s="1025" t="s">
        <v>1668</v>
      </c>
      <c r="C38" s="1082" t="s">
        <v>1657</v>
      </c>
      <c r="D38" s="1027" t="str">
        <f t="shared" si="0"/>
        <v>AFRICA|Pigs - dry sows/boars</v>
      </c>
      <c r="E38" s="1095">
        <v>1</v>
      </c>
      <c r="F38" s="1082" t="s">
        <v>55</v>
      </c>
      <c r="G38" s="1082" t="s">
        <v>74</v>
      </c>
      <c r="H38" s="870"/>
      <c r="I38" s="870"/>
      <c r="J38" s="870"/>
      <c r="K38" s="870"/>
    </row>
    <row r="39" spans="1:11">
      <c r="A39" s="1082" t="s">
        <v>96</v>
      </c>
      <c r="B39" s="1025" t="s">
        <v>1667</v>
      </c>
      <c r="C39" s="1082" t="s">
        <v>1657</v>
      </c>
      <c r="D39" s="1027" t="str">
        <f t="shared" si="0"/>
        <v>AFRICA|Pigs - growers</v>
      </c>
      <c r="E39" s="1095">
        <v>1</v>
      </c>
      <c r="F39" s="1082" t="s">
        <v>55</v>
      </c>
      <c r="G39" s="1082" t="s">
        <v>74</v>
      </c>
      <c r="I39" s="870"/>
      <c r="J39" s="870"/>
      <c r="K39" s="870"/>
    </row>
    <row r="40" spans="1:11">
      <c r="A40" s="224" t="s">
        <v>1818</v>
      </c>
      <c r="B40" s="1025" t="s">
        <v>1813</v>
      </c>
      <c r="C40" s="1082" t="s">
        <v>91</v>
      </c>
      <c r="D40" s="1027" t="str">
        <f t="shared" si="0"/>
        <v>ASIA|Cows (local)</v>
      </c>
      <c r="E40" s="1095">
        <v>50</v>
      </c>
      <c r="F40" s="1082" t="s">
        <v>55</v>
      </c>
      <c r="G40" s="1082" t="s">
        <v>92</v>
      </c>
      <c r="I40" s="870"/>
      <c r="J40" s="870"/>
      <c r="K40" s="870"/>
    </row>
    <row r="41" spans="1:11">
      <c r="A41" s="224" t="s">
        <v>1818</v>
      </c>
      <c r="B41" s="1025" t="s">
        <v>1814</v>
      </c>
      <c r="C41" s="1082" t="s">
        <v>75</v>
      </c>
      <c r="D41" s="1027" t="str">
        <f t="shared" si="0"/>
        <v>ASIA|Cows (improved)</v>
      </c>
      <c r="E41" s="1095">
        <v>68</v>
      </c>
      <c r="F41" s="1082" t="s">
        <v>55</v>
      </c>
      <c r="G41" s="1082" t="s">
        <v>642</v>
      </c>
      <c r="I41" s="870"/>
      <c r="J41" s="870"/>
      <c r="K41" s="870"/>
    </row>
    <row r="42" spans="1:11">
      <c r="A42" s="224" t="s">
        <v>1818</v>
      </c>
      <c r="B42" s="1025" t="s">
        <v>1067</v>
      </c>
      <c r="C42" s="1082" t="s">
        <v>93</v>
      </c>
      <c r="D42" s="1027" t="str">
        <f t="shared" si="0"/>
        <v>ASIA|Adult cattle - male</v>
      </c>
      <c r="E42" s="224">
        <v>59</v>
      </c>
      <c r="F42" s="1082" t="s">
        <v>55</v>
      </c>
      <c r="G42" s="1082" t="s">
        <v>92</v>
      </c>
      <c r="I42" s="870"/>
      <c r="J42" s="870"/>
      <c r="K42" s="870"/>
    </row>
    <row r="43" spans="1:11">
      <c r="A43" s="224" t="s">
        <v>1818</v>
      </c>
      <c r="B43" s="1025" t="s">
        <v>1018</v>
      </c>
      <c r="C43" s="1082" t="s">
        <v>94</v>
      </c>
      <c r="D43" s="1027" t="str">
        <f t="shared" si="0"/>
        <v>ASIA|Steers/heifers</v>
      </c>
      <c r="E43" s="1082">
        <v>46</v>
      </c>
      <c r="F43" s="1082" t="s">
        <v>55</v>
      </c>
      <c r="G43" s="1082" t="s">
        <v>92</v>
      </c>
      <c r="I43" s="870"/>
      <c r="J43" s="870"/>
      <c r="K43" s="870"/>
    </row>
    <row r="44" spans="1:11">
      <c r="A44" s="224" t="s">
        <v>1818</v>
      </c>
      <c r="B44" s="1025" t="s">
        <v>631</v>
      </c>
      <c r="C44" s="1082" t="s">
        <v>95</v>
      </c>
      <c r="D44" s="1027" t="str">
        <f t="shared" si="0"/>
        <v>ASIA|Calves</v>
      </c>
      <c r="E44" s="1082">
        <v>36</v>
      </c>
      <c r="F44" s="1082" t="s">
        <v>55</v>
      </c>
      <c r="G44" s="1082" t="s">
        <v>92</v>
      </c>
      <c r="I44" s="870"/>
      <c r="J44" s="870"/>
      <c r="K44" s="870"/>
    </row>
    <row r="45" spans="1:11">
      <c r="A45" s="224" t="s">
        <v>1818</v>
      </c>
      <c r="B45" s="1025" t="s">
        <v>1815</v>
      </c>
      <c r="C45" s="1082" t="s">
        <v>93</v>
      </c>
      <c r="D45" s="1027" t="str">
        <f t="shared" si="0"/>
        <v>ASIA|Buffalo (dairy)</v>
      </c>
      <c r="E45" s="1082">
        <v>59</v>
      </c>
      <c r="F45" s="1082" t="s">
        <v>55</v>
      </c>
      <c r="G45" s="1082" t="s">
        <v>92</v>
      </c>
      <c r="I45" s="870"/>
      <c r="J45" s="870"/>
      <c r="K45" s="870"/>
    </row>
    <row r="46" spans="1:11">
      <c r="A46" s="224" t="s">
        <v>1818</v>
      </c>
      <c r="B46" s="1025" t="s">
        <v>1766</v>
      </c>
      <c r="C46" s="1082" t="s">
        <v>95</v>
      </c>
      <c r="D46" s="1027" t="str">
        <f t="shared" si="0"/>
        <v>ASIA|Buffalo steers/heifers</v>
      </c>
      <c r="E46" s="1082">
        <v>36</v>
      </c>
      <c r="F46" s="1082" t="s">
        <v>55</v>
      </c>
      <c r="G46" s="1082" t="s">
        <v>74</v>
      </c>
      <c r="I46" s="870"/>
      <c r="J46" s="870"/>
      <c r="K46" s="870"/>
    </row>
    <row r="47" spans="1:11">
      <c r="A47" s="224" t="s">
        <v>1818</v>
      </c>
      <c r="B47" s="1025" t="s">
        <v>1767</v>
      </c>
      <c r="C47" s="1082" t="s">
        <v>95</v>
      </c>
      <c r="D47" s="1027" t="str">
        <f t="shared" si="0"/>
        <v>ASIA|Buffalo calves</v>
      </c>
      <c r="E47" s="1082">
        <v>36</v>
      </c>
      <c r="F47" s="1082" t="s">
        <v>55</v>
      </c>
      <c r="G47" s="1082" t="s">
        <v>74</v>
      </c>
      <c r="I47" s="870"/>
      <c r="J47" s="870"/>
      <c r="K47" s="870"/>
    </row>
    <row r="48" spans="1:11">
      <c r="A48" s="224" t="s">
        <v>1818</v>
      </c>
      <c r="B48" s="1025" t="s">
        <v>1770</v>
      </c>
      <c r="C48" s="1082" t="s">
        <v>48</v>
      </c>
      <c r="D48" s="1027" t="str">
        <f t="shared" si="0"/>
        <v>ASIA|Sheep/Goats - Ewes/Does</v>
      </c>
      <c r="E48" s="1082">
        <v>5</v>
      </c>
      <c r="F48" s="1082" t="s">
        <v>55</v>
      </c>
      <c r="G48" s="1082" t="s">
        <v>74</v>
      </c>
      <c r="I48" s="870"/>
      <c r="J48" s="870"/>
      <c r="K48" s="870"/>
    </row>
    <row r="49" spans="1:36">
      <c r="A49" s="224" t="s">
        <v>1818</v>
      </c>
      <c r="B49" s="1025" t="s">
        <v>1772</v>
      </c>
      <c r="C49" s="1082" t="s">
        <v>48</v>
      </c>
      <c r="D49" s="1027" t="str">
        <f t="shared" si="0"/>
        <v>ASIA|Sheep/Goats - Breeding Rams/Bucks</v>
      </c>
      <c r="E49" s="1095">
        <v>5</v>
      </c>
      <c r="F49" s="1082" t="s">
        <v>55</v>
      </c>
      <c r="G49" s="1082" t="s">
        <v>92</v>
      </c>
      <c r="I49" s="870"/>
      <c r="J49" s="870"/>
      <c r="K49" s="870"/>
    </row>
    <row r="50" spans="1:36">
      <c r="A50" s="224" t="s">
        <v>1818</v>
      </c>
      <c r="B50" s="1025" t="s">
        <v>1771</v>
      </c>
      <c r="C50" s="1082" t="s">
        <v>48</v>
      </c>
      <c r="D50" s="1027" t="str">
        <f t="shared" si="0"/>
        <v>ASIA|Sheep/Goats - Fattening Rams/Bucks</v>
      </c>
      <c r="E50" s="1095">
        <v>5</v>
      </c>
      <c r="F50" s="1082" t="s">
        <v>55</v>
      </c>
      <c r="G50" s="1082" t="s">
        <v>92</v>
      </c>
      <c r="I50" s="870"/>
      <c r="J50" s="870"/>
      <c r="K50" s="870"/>
    </row>
    <row r="51" spans="1:36">
      <c r="A51" s="224" t="s">
        <v>1818</v>
      </c>
      <c r="B51" s="1025" t="s">
        <v>1773</v>
      </c>
      <c r="C51" s="1082" t="s">
        <v>48</v>
      </c>
      <c r="D51" s="1027" t="str">
        <f t="shared" si="0"/>
        <v>ASIA|Sheep/Goats - Lambs/Kids</v>
      </c>
      <c r="E51" s="1095">
        <v>5</v>
      </c>
      <c r="F51" s="1082" t="s">
        <v>55</v>
      </c>
      <c r="G51" s="1082" t="s">
        <v>92</v>
      </c>
      <c r="I51" s="870"/>
      <c r="J51" s="870"/>
      <c r="K51" s="870"/>
    </row>
    <row r="52" spans="1:36">
      <c r="A52" s="224" t="s">
        <v>1818</v>
      </c>
      <c r="B52" s="1025" t="s">
        <v>1669</v>
      </c>
      <c r="C52" s="1082" t="s">
        <v>1657</v>
      </c>
      <c r="D52" s="1027" t="str">
        <f t="shared" si="0"/>
        <v>ASIA|Pigs - lactating/pregnant sows</v>
      </c>
      <c r="E52" s="1095">
        <v>1</v>
      </c>
      <c r="F52" s="1082" t="s">
        <v>55</v>
      </c>
      <c r="G52" s="1082" t="s">
        <v>74</v>
      </c>
      <c r="I52" s="870"/>
      <c r="J52" s="870"/>
      <c r="K52" s="870"/>
    </row>
    <row r="53" spans="1:36">
      <c r="A53" s="224" t="s">
        <v>1818</v>
      </c>
      <c r="B53" s="1025" t="s">
        <v>1668</v>
      </c>
      <c r="C53" s="1082" t="s">
        <v>1657</v>
      </c>
      <c r="D53" s="1027" t="str">
        <f t="shared" si="0"/>
        <v>ASIA|Pigs - dry sows/boars</v>
      </c>
      <c r="E53" s="1095">
        <v>1</v>
      </c>
      <c r="F53" s="1082" t="s">
        <v>55</v>
      </c>
      <c r="G53" s="1082" t="s">
        <v>74</v>
      </c>
      <c r="I53" s="870"/>
      <c r="J53" s="870"/>
      <c r="K53" s="870"/>
    </row>
    <row r="54" spans="1:36">
      <c r="A54" s="224" t="s">
        <v>1818</v>
      </c>
      <c r="B54" s="1025" t="s">
        <v>1667</v>
      </c>
      <c r="C54" s="1082" t="s">
        <v>1657</v>
      </c>
      <c r="D54" s="1027" t="str">
        <f t="shared" si="0"/>
        <v>ASIA|Pigs - growers</v>
      </c>
      <c r="E54" s="1095">
        <v>1</v>
      </c>
      <c r="F54" s="1082" t="s">
        <v>55</v>
      </c>
      <c r="G54" s="1082" t="s">
        <v>74</v>
      </c>
      <c r="I54" s="870"/>
      <c r="J54" s="870"/>
      <c r="K54" s="870"/>
    </row>
    <row r="55" spans="1:36" s="870" customFormat="1">
      <c r="A55" s="1028"/>
      <c r="B55" s="1029"/>
      <c r="C55" s="1030"/>
      <c r="D55" s="1028"/>
      <c r="E55" s="1031"/>
      <c r="F55" s="1030"/>
      <c r="G55" s="1030"/>
      <c r="H55" s="1032"/>
      <c r="I55" s="1032"/>
      <c r="N55" s="1033"/>
      <c r="AA55" s="1024"/>
      <c r="AJ55" s="990"/>
    </row>
    <row r="56" spans="1:36">
      <c r="D56" s="1021" t="s">
        <v>1819</v>
      </c>
    </row>
    <row r="57" spans="1:36">
      <c r="D57" s="1024"/>
    </row>
    <row r="58" spans="1:36">
      <c r="A58" s="1082" t="s">
        <v>1828</v>
      </c>
      <c r="C58" s="1077" t="s">
        <v>283</v>
      </c>
    </row>
    <row r="59" spans="1:36">
      <c r="A59" s="1482" t="s">
        <v>1826</v>
      </c>
      <c r="B59" s="1482" t="s">
        <v>1825</v>
      </c>
      <c r="C59" s="1077" t="s">
        <v>360</v>
      </c>
    </row>
    <row r="60" spans="1:36">
      <c r="A60" s="1482"/>
      <c r="B60" s="1482"/>
      <c r="C60" s="1077" t="s">
        <v>389</v>
      </c>
    </row>
    <row r="61" spans="1:36">
      <c r="A61" s="1482"/>
      <c r="B61" s="1482"/>
      <c r="C61" s="1082" t="s">
        <v>634</v>
      </c>
    </row>
    <row r="62" spans="1:36">
      <c r="A62" s="1025" t="s">
        <v>1813</v>
      </c>
      <c r="B62" s="1077" t="s">
        <v>75</v>
      </c>
      <c r="C62" s="1077">
        <v>6.5</v>
      </c>
    </row>
    <row r="63" spans="1:36">
      <c r="A63" s="1025" t="s">
        <v>1814</v>
      </c>
      <c r="B63" s="1077" t="s">
        <v>75</v>
      </c>
      <c r="C63" s="1077">
        <v>6.5</v>
      </c>
    </row>
    <row r="64" spans="1:36">
      <c r="A64" s="1025" t="s">
        <v>1067</v>
      </c>
      <c r="B64" s="172" t="s">
        <v>1827</v>
      </c>
      <c r="C64" s="1077">
        <v>6.5</v>
      </c>
    </row>
    <row r="65" spans="1:14">
      <c r="A65" s="1025" t="s">
        <v>1018</v>
      </c>
      <c r="B65" s="1026" t="s">
        <v>1827</v>
      </c>
      <c r="C65" s="1077">
        <v>6.5</v>
      </c>
    </row>
    <row r="66" spans="1:14">
      <c r="A66" s="1025" t="s">
        <v>631</v>
      </c>
      <c r="B66" s="1026" t="s">
        <v>1827</v>
      </c>
      <c r="C66" s="1077">
        <v>6.5</v>
      </c>
    </row>
    <row r="67" spans="1:14">
      <c r="A67" s="1025" t="s">
        <v>1815</v>
      </c>
      <c r="B67" s="1077" t="s">
        <v>1829</v>
      </c>
      <c r="C67" s="1077">
        <v>6.5</v>
      </c>
    </row>
    <row r="68" spans="1:14">
      <c r="A68" s="1025" t="s">
        <v>1766</v>
      </c>
      <c r="B68" s="1077" t="s">
        <v>1829</v>
      </c>
      <c r="C68" s="1077">
        <v>6.5</v>
      </c>
    </row>
    <row r="69" spans="1:14">
      <c r="A69" s="1025" t="s">
        <v>1767</v>
      </c>
      <c r="B69" s="1077" t="s">
        <v>1829</v>
      </c>
      <c r="C69" s="1077">
        <v>6.5</v>
      </c>
    </row>
    <row r="70" spans="1:14">
      <c r="A70" s="1025" t="s">
        <v>1770</v>
      </c>
      <c r="B70" s="1077" t="s">
        <v>633</v>
      </c>
      <c r="C70" s="1077">
        <v>6.5</v>
      </c>
    </row>
    <row r="71" spans="1:14">
      <c r="A71" s="1025" t="s">
        <v>1772</v>
      </c>
      <c r="B71" s="1077" t="s">
        <v>633</v>
      </c>
      <c r="C71" s="1077">
        <v>6.5</v>
      </c>
    </row>
    <row r="72" spans="1:14">
      <c r="A72" s="1025" t="s">
        <v>1771</v>
      </c>
      <c r="B72" s="1077" t="s">
        <v>633</v>
      </c>
      <c r="C72" s="1077">
        <v>6.5</v>
      </c>
    </row>
    <row r="73" spans="1:14">
      <c r="A73" s="1025" t="s">
        <v>1773</v>
      </c>
      <c r="B73" s="1077" t="s">
        <v>632</v>
      </c>
      <c r="C73" s="1077">
        <v>4.5</v>
      </c>
    </row>
    <row r="74" spans="1:14">
      <c r="A74" s="1025" t="s">
        <v>1669</v>
      </c>
      <c r="B74" s="1077" t="s">
        <v>1143</v>
      </c>
      <c r="C74" s="1077">
        <v>0</v>
      </c>
    </row>
    <row r="75" spans="1:14">
      <c r="A75" s="1025" t="s">
        <v>1668</v>
      </c>
      <c r="B75" s="1077" t="s">
        <v>1143</v>
      </c>
      <c r="C75" s="1077">
        <v>0</v>
      </c>
    </row>
    <row r="76" spans="1:14">
      <c r="A76" s="1025" t="s">
        <v>1667</v>
      </c>
      <c r="B76" s="1077" t="s">
        <v>1143</v>
      </c>
      <c r="C76" s="1077">
        <v>0</v>
      </c>
    </row>
    <row r="77" spans="1:14" ht="31.5">
      <c r="A77" s="824" t="s">
        <v>1591</v>
      </c>
      <c r="B77" s="825">
        <v>6.5</v>
      </c>
    </row>
    <row r="79" spans="1:14">
      <c r="A79" s="224" t="s">
        <v>1823</v>
      </c>
      <c r="B79" s="1082" t="s">
        <v>1826</v>
      </c>
      <c r="C79" s="1082" t="s">
        <v>1825</v>
      </c>
      <c r="D79" s="224" t="s">
        <v>1824</v>
      </c>
      <c r="E79" s="224" t="s">
        <v>52</v>
      </c>
      <c r="F79" s="224" t="s">
        <v>51</v>
      </c>
      <c r="G79" s="224" t="s">
        <v>50</v>
      </c>
    </row>
    <row r="80" spans="1:14">
      <c r="A80" s="224" t="s">
        <v>1639</v>
      </c>
      <c r="B80" s="1025" t="s">
        <v>1813</v>
      </c>
      <c r="C80" s="1077" t="s">
        <v>60</v>
      </c>
      <c r="D80" s="1027" t="str">
        <f>A80 &amp;"|" &amp;B80</f>
        <v>LATIN AMERICA|Cows (local)</v>
      </c>
      <c r="E80" s="224">
        <v>1</v>
      </c>
      <c r="F80" s="224">
        <v>1</v>
      </c>
      <c r="G80" s="224">
        <v>2</v>
      </c>
      <c r="I80" s="144" t="s">
        <v>73</v>
      </c>
      <c r="N80" s="144"/>
    </row>
    <row r="81" spans="1:30">
      <c r="A81" s="224" t="s">
        <v>1639</v>
      </c>
      <c r="B81" s="1025" t="s">
        <v>1814</v>
      </c>
      <c r="C81" s="1077" t="s">
        <v>60</v>
      </c>
      <c r="D81" s="1027" t="str">
        <f t="shared" ref="D81:D124" si="1">A81 &amp;"|" &amp;B81</f>
        <v>LATIN AMERICA|Cows (improved)</v>
      </c>
      <c r="E81" s="224">
        <v>1</v>
      </c>
      <c r="F81" s="224">
        <v>1</v>
      </c>
      <c r="G81" s="224">
        <v>2</v>
      </c>
      <c r="I81" s="144" t="s">
        <v>72</v>
      </c>
      <c r="N81" s="144"/>
    </row>
    <row r="82" spans="1:30">
      <c r="A82" s="224" t="s">
        <v>1639</v>
      </c>
      <c r="B82" s="1025" t="s">
        <v>1067</v>
      </c>
      <c r="C82" s="1077" t="s">
        <v>59</v>
      </c>
      <c r="D82" s="1027" t="str">
        <f t="shared" si="1"/>
        <v>LATIN AMERICA|Adult cattle - male</v>
      </c>
      <c r="E82" s="224">
        <v>1</v>
      </c>
      <c r="F82" s="224">
        <v>1</v>
      </c>
      <c r="G82" s="224">
        <v>1</v>
      </c>
      <c r="I82" s="144" t="s">
        <v>71</v>
      </c>
      <c r="N82" s="144"/>
    </row>
    <row r="83" spans="1:30">
      <c r="A83" s="224" t="s">
        <v>1639</v>
      </c>
      <c r="B83" s="1025" t="s">
        <v>1018</v>
      </c>
      <c r="C83" s="1077" t="s">
        <v>59</v>
      </c>
      <c r="D83" s="1027" t="str">
        <f t="shared" si="1"/>
        <v>LATIN AMERICA|Steers/heifers</v>
      </c>
      <c r="E83" s="224">
        <v>1</v>
      </c>
      <c r="F83" s="224">
        <v>1</v>
      </c>
      <c r="G83" s="224">
        <v>1</v>
      </c>
      <c r="I83" s="144" t="s">
        <v>55</v>
      </c>
      <c r="N83" s="144"/>
    </row>
    <row r="84" spans="1:30">
      <c r="A84" s="224" t="s">
        <v>1639</v>
      </c>
      <c r="B84" s="1025" t="s">
        <v>631</v>
      </c>
      <c r="C84" s="1077" t="s">
        <v>59</v>
      </c>
      <c r="D84" s="1027" t="str">
        <f t="shared" si="1"/>
        <v>LATIN AMERICA|Calves</v>
      </c>
      <c r="E84" s="224">
        <v>1</v>
      </c>
      <c r="F84" s="224">
        <v>1</v>
      </c>
      <c r="G84" s="224">
        <v>1</v>
      </c>
      <c r="L84" s="144" t="s">
        <v>70</v>
      </c>
      <c r="N84" s="144"/>
    </row>
    <row r="85" spans="1:30">
      <c r="A85" s="224" t="s">
        <v>1639</v>
      </c>
      <c r="B85" s="1025" t="s">
        <v>1815</v>
      </c>
      <c r="C85" s="1077" t="s">
        <v>59</v>
      </c>
      <c r="D85" s="1027" t="str">
        <f t="shared" si="1"/>
        <v>LATIN AMERICA|Buffalo (dairy)</v>
      </c>
      <c r="E85" s="224">
        <v>1</v>
      </c>
      <c r="F85" s="224">
        <v>1</v>
      </c>
      <c r="G85" s="224">
        <v>2</v>
      </c>
      <c r="I85" s="172" t="s">
        <v>69</v>
      </c>
      <c r="J85" s="172" t="s">
        <v>68</v>
      </c>
      <c r="K85" s="1077" t="s">
        <v>67</v>
      </c>
      <c r="L85" s="1484" t="s">
        <v>66</v>
      </c>
      <c r="M85" s="1485"/>
      <c r="N85" s="1485"/>
      <c r="O85" s="1485"/>
      <c r="P85" s="1486"/>
      <c r="Q85" s="1079"/>
      <c r="R85" s="1079"/>
      <c r="S85" s="1079"/>
      <c r="T85" s="1079"/>
      <c r="U85" s="1079" t="s">
        <v>65</v>
      </c>
      <c r="V85" s="1079"/>
      <c r="W85" s="1079"/>
      <c r="X85" s="1079"/>
      <c r="Y85" s="1079"/>
      <c r="Z85" s="1079"/>
      <c r="AA85" s="1080"/>
      <c r="AB85" s="1078" t="s">
        <v>64</v>
      </c>
      <c r="AC85" s="1079"/>
      <c r="AD85" s="1080"/>
    </row>
    <row r="86" spans="1:30">
      <c r="A86" s="224" t="s">
        <v>1639</v>
      </c>
      <c r="B86" s="1025" t="s">
        <v>1766</v>
      </c>
      <c r="C86" s="1077" t="s">
        <v>59</v>
      </c>
      <c r="D86" s="1027" t="str">
        <f t="shared" si="1"/>
        <v>LATIN AMERICA|Buffalo steers/heifers</v>
      </c>
      <c r="E86" s="224">
        <v>1</v>
      </c>
      <c r="F86" s="224">
        <v>1</v>
      </c>
      <c r="G86" s="224">
        <v>2</v>
      </c>
      <c r="I86" s="1482" t="s">
        <v>96</v>
      </c>
      <c r="J86" s="1518" t="s">
        <v>61</v>
      </c>
      <c r="K86" s="1077"/>
      <c r="L86" s="241" t="s">
        <v>63</v>
      </c>
      <c r="M86" s="1077">
        <v>11</v>
      </c>
      <c r="N86" s="1077">
        <v>12</v>
      </c>
      <c r="O86" s="1077">
        <v>13</v>
      </c>
      <c r="P86" s="1077">
        <v>14</v>
      </c>
      <c r="Q86" s="1077">
        <v>15</v>
      </c>
      <c r="R86" s="1077">
        <v>16</v>
      </c>
      <c r="S86" s="1077">
        <v>17</v>
      </c>
      <c r="T86" s="1077">
        <v>18</v>
      </c>
      <c r="U86" s="1077">
        <v>19</v>
      </c>
      <c r="V86" s="1077">
        <v>20</v>
      </c>
      <c r="W86" s="1077">
        <v>21</v>
      </c>
      <c r="X86" s="1077">
        <v>22</v>
      </c>
      <c r="Y86" s="1077">
        <v>23</v>
      </c>
      <c r="Z86" s="1077">
        <v>24</v>
      </c>
      <c r="AA86" s="1077">
        <v>25</v>
      </c>
      <c r="AB86" s="1077">
        <v>26</v>
      </c>
      <c r="AC86" s="1077">
        <v>27</v>
      </c>
      <c r="AD86" s="241" t="s">
        <v>62</v>
      </c>
    </row>
    <row r="87" spans="1:30" ht="15" customHeight="1">
      <c r="A87" s="224" t="s">
        <v>1639</v>
      </c>
      <c r="B87" s="1025" t="s">
        <v>1767</v>
      </c>
      <c r="C87" s="1077" t="s">
        <v>59</v>
      </c>
      <c r="D87" s="1027" t="str">
        <f t="shared" si="1"/>
        <v>LATIN AMERICA|Buffalo calves</v>
      </c>
      <c r="E87" s="224">
        <v>1</v>
      </c>
      <c r="F87" s="224">
        <v>1</v>
      </c>
      <c r="G87" s="224">
        <v>2</v>
      </c>
      <c r="I87" s="1482"/>
      <c r="J87" s="1518"/>
      <c r="K87" s="1077" t="s">
        <v>60</v>
      </c>
      <c r="L87" s="1022">
        <v>1</v>
      </c>
      <c r="M87" s="1022">
        <v>1</v>
      </c>
      <c r="N87" s="1022">
        <v>1</v>
      </c>
      <c r="O87" s="1022">
        <v>1</v>
      </c>
      <c r="P87" s="1022">
        <v>1</v>
      </c>
      <c r="Q87" s="1022">
        <v>1</v>
      </c>
      <c r="R87" s="1022">
        <v>1</v>
      </c>
      <c r="S87" s="1022">
        <v>1</v>
      </c>
      <c r="T87" s="1022">
        <v>1</v>
      </c>
      <c r="U87" s="1022">
        <v>1</v>
      </c>
      <c r="V87" s="1022">
        <v>1</v>
      </c>
      <c r="W87" s="1022">
        <v>1</v>
      </c>
      <c r="X87" s="1022">
        <v>1</v>
      </c>
      <c r="Y87" s="1022">
        <v>1</v>
      </c>
      <c r="Z87" s="1022">
        <v>1</v>
      </c>
      <c r="AA87" s="1022">
        <v>1</v>
      </c>
      <c r="AB87" s="1022">
        <v>1</v>
      </c>
      <c r="AC87" s="1022">
        <v>1</v>
      </c>
      <c r="AD87" s="1022">
        <v>1</v>
      </c>
    </row>
    <row r="88" spans="1:30">
      <c r="A88" s="224" t="s">
        <v>1639</v>
      </c>
      <c r="B88" s="1025" t="s">
        <v>1770</v>
      </c>
      <c r="C88" s="224" t="s">
        <v>49</v>
      </c>
      <c r="D88" s="1027" t="str">
        <f t="shared" si="1"/>
        <v>LATIN AMERICA|Sheep/Goats - Ewes/Does</v>
      </c>
      <c r="E88" s="224">
        <v>0.1</v>
      </c>
      <c r="F88" s="224">
        <v>0.15</v>
      </c>
      <c r="G88" s="224">
        <v>0.2</v>
      </c>
      <c r="I88" s="1482"/>
      <c r="J88" s="1518"/>
      <c r="K88" s="1077" t="s">
        <v>59</v>
      </c>
      <c r="L88" s="1022">
        <v>0</v>
      </c>
      <c r="M88" s="1022">
        <v>0</v>
      </c>
      <c r="N88" s="1022">
        <v>0</v>
      </c>
      <c r="O88" s="1022">
        <v>0</v>
      </c>
      <c r="P88" s="1022">
        <v>0</v>
      </c>
      <c r="Q88" s="1022">
        <v>1</v>
      </c>
      <c r="R88" s="1022">
        <v>1</v>
      </c>
      <c r="S88" s="1022">
        <v>1</v>
      </c>
      <c r="T88" s="1022">
        <v>1</v>
      </c>
      <c r="U88" s="1022">
        <v>1</v>
      </c>
      <c r="V88" s="1022">
        <v>1</v>
      </c>
      <c r="W88" s="1022">
        <v>1</v>
      </c>
      <c r="X88" s="1022">
        <v>1</v>
      </c>
      <c r="Y88" s="1022">
        <v>1</v>
      </c>
      <c r="Z88" s="1022">
        <v>1</v>
      </c>
      <c r="AA88" s="1022">
        <v>1</v>
      </c>
      <c r="AB88" s="1022">
        <v>1</v>
      </c>
      <c r="AC88" s="1022">
        <v>1</v>
      </c>
      <c r="AD88" s="1022">
        <v>1</v>
      </c>
    </row>
    <row r="89" spans="1:30">
      <c r="A89" s="224" t="s">
        <v>1639</v>
      </c>
      <c r="B89" s="1025" t="s">
        <v>1772</v>
      </c>
      <c r="C89" s="224" t="s">
        <v>49</v>
      </c>
      <c r="D89" s="1027" t="str">
        <f t="shared" si="1"/>
        <v>LATIN AMERICA|Sheep/Goats - Breeding Rams/Bucks</v>
      </c>
      <c r="E89" s="224">
        <v>0.1</v>
      </c>
      <c r="F89" s="224">
        <v>0.15</v>
      </c>
      <c r="G89" s="224">
        <v>0.2</v>
      </c>
      <c r="I89" s="1482"/>
      <c r="J89" s="1518"/>
      <c r="K89" s="1077" t="s">
        <v>1658</v>
      </c>
      <c r="L89" s="1022">
        <v>0</v>
      </c>
      <c r="M89" s="1022">
        <v>0</v>
      </c>
      <c r="N89" s="1022">
        <v>0</v>
      </c>
      <c r="O89" s="1022">
        <v>1</v>
      </c>
      <c r="P89" s="1022">
        <v>1</v>
      </c>
      <c r="Q89" s="1022">
        <v>1</v>
      </c>
      <c r="R89" s="1022">
        <v>1</v>
      </c>
      <c r="S89" s="1022">
        <v>1</v>
      </c>
      <c r="T89" s="1022">
        <v>1</v>
      </c>
      <c r="U89" s="1022">
        <v>1</v>
      </c>
      <c r="V89" s="1022">
        <v>1</v>
      </c>
      <c r="W89" s="1022">
        <v>1</v>
      </c>
      <c r="X89" s="1022">
        <v>1</v>
      </c>
      <c r="Y89" s="1022">
        <v>1</v>
      </c>
      <c r="Z89" s="1022">
        <v>1</v>
      </c>
      <c r="AA89" s="1022">
        <v>1</v>
      </c>
      <c r="AB89" s="1022">
        <v>1</v>
      </c>
      <c r="AC89" s="1022">
        <v>1</v>
      </c>
      <c r="AD89" s="1022">
        <v>2</v>
      </c>
    </row>
    <row r="90" spans="1:30" ht="15.75" customHeight="1">
      <c r="A90" s="224" t="s">
        <v>1639</v>
      </c>
      <c r="B90" s="1025" t="s">
        <v>1771</v>
      </c>
      <c r="C90" s="224" t="s">
        <v>49</v>
      </c>
      <c r="D90" s="1027" t="str">
        <f t="shared" si="1"/>
        <v>LATIN AMERICA|Sheep/Goats - Fattening Rams/Bucks</v>
      </c>
      <c r="E90" s="224">
        <v>0.1</v>
      </c>
      <c r="F90" s="224">
        <v>0.15</v>
      </c>
      <c r="G90" s="224">
        <v>0.2</v>
      </c>
      <c r="I90" s="1482" t="s">
        <v>1639</v>
      </c>
      <c r="J90" s="1519" t="s">
        <v>1820</v>
      </c>
      <c r="K90" s="224" t="s">
        <v>60</v>
      </c>
      <c r="L90" s="1023">
        <v>1</v>
      </c>
      <c r="M90" s="1023">
        <v>1</v>
      </c>
      <c r="N90" s="1023">
        <v>1</v>
      </c>
      <c r="O90" s="1023">
        <v>1</v>
      </c>
      <c r="P90" s="1023">
        <v>1</v>
      </c>
      <c r="Q90" s="1022">
        <v>1</v>
      </c>
      <c r="R90" s="1022">
        <v>1</v>
      </c>
      <c r="S90" s="1022">
        <v>1</v>
      </c>
      <c r="T90" s="1022">
        <v>1</v>
      </c>
      <c r="U90" s="1022">
        <v>1</v>
      </c>
      <c r="V90" s="1022">
        <v>1</v>
      </c>
      <c r="W90" s="1022">
        <v>1</v>
      </c>
      <c r="X90" s="1022">
        <v>1</v>
      </c>
      <c r="Y90" s="1023">
        <v>1</v>
      </c>
      <c r="Z90" s="1023">
        <v>1</v>
      </c>
      <c r="AA90" s="1023">
        <v>1</v>
      </c>
      <c r="AB90" s="1022">
        <v>2</v>
      </c>
      <c r="AC90" s="1022">
        <v>2</v>
      </c>
      <c r="AD90" s="1022">
        <v>2</v>
      </c>
    </row>
    <row r="91" spans="1:30">
      <c r="A91" s="224" t="s">
        <v>1639</v>
      </c>
      <c r="B91" s="1025" t="s">
        <v>1773</v>
      </c>
      <c r="C91" s="224" t="s">
        <v>49</v>
      </c>
      <c r="D91" s="1027" t="str">
        <f t="shared" si="1"/>
        <v>LATIN AMERICA|Sheep/Goats - Lambs/Kids</v>
      </c>
      <c r="E91" s="224">
        <v>0.1</v>
      </c>
      <c r="F91" s="224">
        <v>0.15</v>
      </c>
      <c r="G91" s="224">
        <v>0.2</v>
      </c>
      <c r="I91" s="1482"/>
      <c r="J91" s="1520"/>
      <c r="K91" s="224" t="s">
        <v>59</v>
      </c>
      <c r="L91" s="1023">
        <v>1</v>
      </c>
      <c r="M91" s="1023">
        <v>1</v>
      </c>
      <c r="N91" s="1023">
        <v>1</v>
      </c>
      <c r="O91" s="1023">
        <v>1</v>
      </c>
      <c r="P91" s="1023">
        <v>1</v>
      </c>
      <c r="Q91" s="1022">
        <v>1</v>
      </c>
      <c r="R91" s="1022">
        <v>1</v>
      </c>
      <c r="S91" s="1022">
        <v>1</v>
      </c>
      <c r="T91" s="1022">
        <v>1</v>
      </c>
      <c r="U91" s="1022">
        <v>1</v>
      </c>
      <c r="V91" s="1022">
        <v>1</v>
      </c>
      <c r="W91" s="1022">
        <v>1</v>
      </c>
      <c r="X91" s="1022">
        <v>1</v>
      </c>
      <c r="Y91" s="1023">
        <v>1</v>
      </c>
      <c r="Z91" s="1023">
        <v>1</v>
      </c>
      <c r="AA91" s="1023">
        <v>1</v>
      </c>
      <c r="AB91" s="1022">
        <v>1</v>
      </c>
      <c r="AC91" s="1022">
        <v>1</v>
      </c>
      <c r="AD91" s="1022">
        <v>1</v>
      </c>
    </row>
    <row r="92" spans="1:30">
      <c r="A92" s="224" t="s">
        <v>1639</v>
      </c>
      <c r="B92" s="1025" t="s">
        <v>1669</v>
      </c>
      <c r="C92" s="1077" t="s">
        <v>1658</v>
      </c>
      <c r="D92" s="1027" t="str">
        <f t="shared" si="1"/>
        <v>LATIN AMERICA|Pigs - lactating/pregnant sows</v>
      </c>
      <c r="E92" s="224">
        <v>1</v>
      </c>
      <c r="F92" s="224">
        <v>1</v>
      </c>
      <c r="G92" s="224">
        <v>2</v>
      </c>
      <c r="I92" s="1482"/>
      <c r="J92" s="1520"/>
      <c r="K92" s="224" t="s">
        <v>1658</v>
      </c>
      <c r="L92" s="1023">
        <v>1</v>
      </c>
      <c r="M92" s="1023">
        <v>1</v>
      </c>
      <c r="N92" s="1023">
        <v>1</v>
      </c>
      <c r="O92" s="1023">
        <v>1</v>
      </c>
      <c r="P92" s="1023">
        <v>1</v>
      </c>
      <c r="Q92" s="1022">
        <v>1</v>
      </c>
      <c r="R92" s="1022">
        <v>1</v>
      </c>
      <c r="S92" s="1022">
        <v>1</v>
      </c>
      <c r="T92" s="1022">
        <v>1</v>
      </c>
      <c r="U92" s="1022">
        <v>1</v>
      </c>
      <c r="V92" s="1022">
        <v>1</v>
      </c>
      <c r="W92" s="1022">
        <v>1</v>
      </c>
      <c r="X92" s="1022">
        <v>1</v>
      </c>
      <c r="Y92" s="1023">
        <v>1</v>
      </c>
      <c r="Z92" s="1023">
        <v>1</v>
      </c>
      <c r="AA92" s="1023">
        <v>1</v>
      </c>
      <c r="AB92" s="1022">
        <v>2</v>
      </c>
      <c r="AC92" s="1022">
        <v>2</v>
      </c>
      <c r="AD92" s="1022">
        <v>2</v>
      </c>
    </row>
    <row r="93" spans="1:30">
      <c r="A93" s="224" t="s">
        <v>1639</v>
      </c>
      <c r="B93" s="1025" t="s">
        <v>1668</v>
      </c>
      <c r="C93" s="1077" t="s">
        <v>1658</v>
      </c>
      <c r="D93" s="1027" t="str">
        <f t="shared" si="1"/>
        <v>LATIN AMERICA|Pigs - dry sows/boars</v>
      </c>
      <c r="E93" s="224">
        <v>1</v>
      </c>
      <c r="F93" s="224">
        <v>1</v>
      </c>
      <c r="G93" s="224">
        <v>2</v>
      </c>
      <c r="I93" s="1482"/>
      <c r="J93" s="1521"/>
      <c r="K93" s="224" t="s">
        <v>1817</v>
      </c>
      <c r="L93" s="1023">
        <v>1</v>
      </c>
      <c r="M93" s="1023">
        <v>1</v>
      </c>
      <c r="N93" s="1023">
        <v>1</v>
      </c>
      <c r="O93" s="1023">
        <v>1</v>
      </c>
      <c r="P93" s="1023">
        <v>1</v>
      </c>
      <c r="Q93" s="1022">
        <v>1</v>
      </c>
      <c r="R93" s="1022">
        <v>1</v>
      </c>
      <c r="S93" s="1022">
        <v>1</v>
      </c>
      <c r="T93" s="1022">
        <v>1</v>
      </c>
      <c r="U93" s="1022">
        <v>1</v>
      </c>
      <c r="V93" s="1022">
        <v>1</v>
      </c>
      <c r="W93" s="1022">
        <v>1</v>
      </c>
      <c r="X93" s="1022">
        <v>1</v>
      </c>
      <c r="Y93" s="1023">
        <v>1</v>
      </c>
      <c r="Z93" s="1023">
        <v>1</v>
      </c>
      <c r="AA93" s="1023">
        <v>1</v>
      </c>
      <c r="AB93" s="1022">
        <v>2</v>
      </c>
      <c r="AC93" s="1022">
        <v>2</v>
      </c>
      <c r="AD93" s="1022">
        <v>2</v>
      </c>
    </row>
    <row r="94" spans="1:30">
      <c r="A94" s="224" t="s">
        <v>1639</v>
      </c>
      <c r="B94" s="1025" t="s">
        <v>1667</v>
      </c>
      <c r="C94" s="1077" t="s">
        <v>1658</v>
      </c>
      <c r="D94" s="1027" t="str">
        <f t="shared" si="1"/>
        <v>LATIN AMERICA|Pigs - growers</v>
      </c>
      <c r="E94" s="224">
        <v>1</v>
      </c>
      <c r="F94" s="224">
        <v>1</v>
      </c>
      <c r="G94" s="224">
        <v>2</v>
      </c>
      <c r="I94" s="1482" t="s">
        <v>1818</v>
      </c>
      <c r="J94" s="1483" t="s">
        <v>1821</v>
      </c>
      <c r="K94" s="224" t="s">
        <v>60</v>
      </c>
      <c r="L94" s="1023">
        <v>9</v>
      </c>
      <c r="M94" s="1023">
        <v>10</v>
      </c>
      <c r="N94" s="1023">
        <v>10</v>
      </c>
      <c r="O94" s="1023">
        <v>11</v>
      </c>
      <c r="P94" s="1023">
        <v>12</v>
      </c>
      <c r="Q94" s="1023">
        <v>13</v>
      </c>
      <c r="R94" s="1023">
        <v>14</v>
      </c>
      <c r="S94" s="1023">
        <v>15</v>
      </c>
      <c r="T94" s="1023">
        <v>16</v>
      </c>
      <c r="U94" s="1023">
        <v>17</v>
      </c>
      <c r="V94" s="1023">
        <v>18</v>
      </c>
      <c r="W94" s="1023">
        <v>20</v>
      </c>
      <c r="X94" s="1023">
        <v>21</v>
      </c>
      <c r="Y94" s="1023">
        <v>23</v>
      </c>
      <c r="Z94" s="1023">
        <v>24</v>
      </c>
      <c r="AA94" s="1023">
        <v>26</v>
      </c>
      <c r="AB94" s="1023">
        <v>28</v>
      </c>
      <c r="AC94" s="1023">
        <v>31</v>
      </c>
      <c r="AD94" s="1023">
        <v>31</v>
      </c>
    </row>
    <row r="95" spans="1:30">
      <c r="A95" s="1082" t="s">
        <v>96</v>
      </c>
      <c r="B95" s="1025" t="s">
        <v>1813</v>
      </c>
      <c r="C95" s="1077" t="s">
        <v>60</v>
      </c>
      <c r="D95" s="1027" t="str">
        <f t="shared" si="1"/>
        <v>AFRICA|Cows (local)</v>
      </c>
      <c r="E95" s="224">
        <v>1</v>
      </c>
      <c r="F95" s="224">
        <v>1</v>
      </c>
      <c r="G95" s="224">
        <v>1</v>
      </c>
      <c r="I95" s="1482"/>
      <c r="J95" s="1483"/>
      <c r="K95" s="224" t="s">
        <v>59</v>
      </c>
      <c r="L95" s="1023">
        <v>1</v>
      </c>
      <c r="M95" s="1023">
        <v>1</v>
      </c>
      <c r="N95" s="1023">
        <v>1</v>
      </c>
      <c r="O95" s="1023">
        <v>1</v>
      </c>
      <c r="P95" s="1023">
        <v>1</v>
      </c>
      <c r="Q95" s="1023">
        <v>1</v>
      </c>
      <c r="R95" s="1023">
        <v>1</v>
      </c>
      <c r="S95" s="1023">
        <v>1</v>
      </c>
      <c r="T95" s="1023">
        <v>1</v>
      </c>
      <c r="U95" s="1023">
        <v>1</v>
      </c>
      <c r="V95" s="1023">
        <v>1</v>
      </c>
      <c r="W95" s="1023">
        <v>1</v>
      </c>
      <c r="X95" s="1023">
        <v>1</v>
      </c>
      <c r="Y95" s="1023">
        <v>1</v>
      </c>
      <c r="Z95" s="1023">
        <v>1</v>
      </c>
      <c r="AA95" s="1023">
        <v>1</v>
      </c>
      <c r="AB95" s="1022">
        <v>1</v>
      </c>
      <c r="AC95" s="1022">
        <v>1</v>
      </c>
      <c r="AD95" s="1022">
        <v>1</v>
      </c>
    </row>
    <row r="96" spans="1:30">
      <c r="A96" s="1082" t="s">
        <v>96</v>
      </c>
      <c r="B96" s="1025" t="s">
        <v>1814</v>
      </c>
      <c r="C96" s="1077" t="s">
        <v>60</v>
      </c>
      <c r="D96" s="1027" t="str">
        <f t="shared" si="1"/>
        <v>AFRICA|Cows (improved)</v>
      </c>
      <c r="E96" s="224">
        <v>1</v>
      </c>
      <c r="F96" s="224">
        <v>1</v>
      </c>
      <c r="G96" s="224">
        <v>1</v>
      </c>
      <c r="I96" s="1482"/>
      <c r="J96" s="1483"/>
      <c r="K96" s="224" t="s">
        <v>1658</v>
      </c>
      <c r="L96" s="1023">
        <v>2</v>
      </c>
      <c r="M96" s="1023">
        <v>2</v>
      </c>
      <c r="N96" s="1023">
        <v>2</v>
      </c>
      <c r="O96" s="1023">
        <v>2</v>
      </c>
      <c r="P96" s="1023">
        <v>2</v>
      </c>
      <c r="Q96" s="1023">
        <v>3</v>
      </c>
      <c r="R96" s="1023">
        <v>3</v>
      </c>
      <c r="S96" s="1023">
        <v>3</v>
      </c>
      <c r="T96" s="1023">
        <v>3</v>
      </c>
      <c r="U96" s="1023">
        <v>4</v>
      </c>
      <c r="V96" s="1023">
        <v>4</v>
      </c>
      <c r="W96" s="1023">
        <v>5</v>
      </c>
      <c r="X96" s="1023">
        <v>5</v>
      </c>
      <c r="Y96" s="1023">
        <v>5</v>
      </c>
      <c r="Z96" s="1023">
        <v>5</v>
      </c>
      <c r="AA96" s="1023">
        <v>6</v>
      </c>
      <c r="AB96" s="1023">
        <v>6</v>
      </c>
      <c r="AC96" s="1023">
        <v>7</v>
      </c>
      <c r="AD96" s="1023">
        <v>7</v>
      </c>
    </row>
    <row r="97" spans="1:30">
      <c r="A97" s="1082" t="s">
        <v>96</v>
      </c>
      <c r="B97" s="1025" t="s">
        <v>1067</v>
      </c>
      <c r="C97" s="1077" t="s">
        <v>59</v>
      </c>
      <c r="D97" s="1027" t="str">
        <f t="shared" si="1"/>
        <v>AFRICA|Adult cattle - male</v>
      </c>
      <c r="E97" s="224">
        <v>0</v>
      </c>
      <c r="F97" s="224">
        <v>1</v>
      </c>
      <c r="G97" s="224">
        <v>1</v>
      </c>
      <c r="I97" s="1482"/>
      <c r="J97" s="1483"/>
      <c r="K97" s="224" t="s">
        <v>1817</v>
      </c>
      <c r="L97" s="1023">
        <v>1</v>
      </c>
      <c r="M97" s="1023">
        <v>1</v>
      </c>
      <c r="N97" s="1023">
        <v>1</v>
      </c>
      <c r="O97" s="1023">
        <v>1</v>
      </c>
      <c r="P97" s="1023">
        <v>1</v>
      </c>
      <c r="Q97" s="1023">
        <v>2</v>
      </c>
      <c r="R97" s="1023">
        <v>2</v>
      </c>
      <c r="S97" s="1023">
        <v>2</v>
      </c>
      <c r="T97" s="1023">
        <v>2</v>
      </c>
      <c r="U97" s="1023">
        <v>2</v>
      </c>
      <c r="V97" s="1023">
        <v>2</v>
      </c>
      <c r="W97" s="1023">
        <v>2</v>
      </c>
      <c r="X97" s="1023">
        <v>2</v>
      </c>
      <c r="Y97" s="1023">
        <v>2</v>
      </c>
      <c r="Z97" s="1023">
        <v>2</v>
      </c>
      <c r="AA97" s="1023">
        <v>2</v>
      </c>
      <c r="AB97" s="1023">
        <v>2</v>
      </c>
      <c r="AC97" s="1023">
        <v>2</v>
      </c>
      <c r="AD97" s="1023">
        <v>2</v>
      </c>
    </row>
    <row r="98" spans="1:30">
      <c r="A98" s="1082" t="s">
        <v>96</v>
      </c>
      <c r="B98" s="1025" t="s">
        <v>1018</v>
      </c>
      <c r="C98" s="1077" t="s">
        <v>59</v>
      </c>
      <c r="D98" s="1027" t="str">
        <f t="shared" si="1"/>
        <v>AFRICA|Steers/heifers</v>
      </c>
      <c r="E98" s="224">
        <v>0</v>
      </c>
      <c r="F98" s="224">
        <v>1</v>
      </c>
      <c r="G98" s="224">
        <v>1</v>
      </c>
      <c r="N98" s="144"/>
    </row>
    <row r="99" spans="1:30" ht="21" customHeight="1">
      <c r="A99" s="1082" t="s">
        <v>96</v>
      </c>
      <c r="B99" s="1025" t="s">
        <v>631</v>
      </c>
      <c r="C99" s="1077" t="s">
        <v>59</v>
      </c>
      <c r="D99" s="1027" t="str">
        <f t="shared" si="1"/>
        <v>AFRICA|Calves</v>
      </c>
      <c r="E99" s="224">
        <v>0</v>
      </c>
      <c r="F99" s="224">
        <v>1</v>
      </c>
      <c r="G99" s="224">
        <v>1</v>
      </c>
      <c r="I99" s="144" t="s">
        <v>58</v>
      </c>
      <c r="N99" s="144"/>
    </row>
    <row r="100" spans="1:30">
      <c r="A100" s="1082" t="s">
        <v>96</v>
      </c>
      <c r="B100" s="1025" t="s">
        <v>1815</v>
      </c>
      <c r="C100" s="1077" t="s">
        <v>59</v>
      </c>
      <c r="D100" s="1027" t="str">
        <f t="shared" si="1"/>
        <v>AFRICA|Buffalo (dairy)</v>
      </c>
      <c r="E100" s="224">
        <v>0</v>
      </c>
      <c r="F100" s="224">
        <v>1</v>
      </c>
      <c r="G100" s="224">
        <v>1</v>
      </c>
      <c r="I100" s="144" t="s">
        <v>57</v>
      </c>
      <c r="N100" s="144"/>
    </row>
    <row r="101" spans="1:30">
      <c r="A101" s="1082" t="s">
        <v>96</v>
      </c>
      <c r="B101" s="1025" t="s">
        <v>1766</v>
      </c>
      <c r="C101" s="1077" t="s">
        <v>59</v>
      </c>
      <c r="D101" s="1027" t="str">
        <f t="shared" si="1"/>
        <v>AFRICA|Buffalo steers/heifers</v>
      </c>
      <c r="E101" s="224">
        <v>0</v>
      </c>
      <c r="F101" s="224">
        <v>1</v>
      </c>
      <c r="G101" s="224">
        <v>1</v>
      </c>
      <c r="I101" s="144" t="s">
        <v>56</v>
      </c>
      <c r="N101" s="144"/>
    </row>
    <row r="102" spans="1:30">
      <c r="A102" s="1082" t="s">
        <v>96</v>
      </c>
      <c r="B102" s="1025" t="s">
        <v>1767</v>
      </c>
      <c r="C102" s="1077" t="s">
        <v>59</v>
      </c>
      <c r="D102" s="1027" t="str">
        <f t="shared" si="1"/>
        <v>AFRICA|Buffalo calves</v>
      </c>
      <c r="E102" s="224">
        <v>0</v>
      </c>
      <c r="F102" s="224">
        <v>1</v>
      </c>
      <c r="G102" s="224">
        <v>1</v>
      </c>
      <c r="I102" s="144" t="s">
        <v>55</v>
      </c>
      <c r="N102" s="144"/>
    </row>
    <row r="103" spans="1:30">
      <c r="A103" s="1082" t="s">
        <v>96</v>
      </c>
      <c r="B103" s="1025" t="s">
        <v>1770</v>
      </c>
      <c r="C103" s="224" t="s">
        <v>49</v>
      </c>
      <c r="D103" s="1027" t="str">
        <f t="shared" si="1"/>
        <v>AFRICA|Sheep/Goats - Ewes/Does</v>
      </c>
      <c r="E103" s="224">
        <v>0.1</v>
      </c>
      <c r="F103" s="224">
        <v>0.15</v>
      </c>
      <c r="G103" s="224">
        <v>0.2</v>
      </c>
      <c r="I103" s="224"/>
      <c r="J103" s="1515" t="s">
        <v>54</v>
      </c>
      <c r="K103" s="1516"/>
      <c r="L103" s="1517"/>
      <c r="N103" s="144"/>
    </row>
    <row r="104" spans="1:30">
      <c r="A104" s="1082" t="s">
        <v>96</v>
      </c>
      <c r="B104" s="1025" t="s">
        <v>1772</v>
      </c>
      <c r="C104" s="224" t="s">
        <v>49</v>
      </c>
      <c r="D104" s="1027" t="str">
        <f t="shared" si="1"/>
        <v>AFRICA|Sheep/Goats - Breeding Rams/Bucks</v>
      </c>
      <c r="E104" s="224">
        <v>0.1</v>
      </c>
      <c r="F104" s="224">
        <v>0.15</v>
      </c>
      <c r="G104" s="224">
        <v>0.2</v>
      </c>
      <c r="I104" s="224" t="s">
        <v>53</v>
      </c>
      <c r="J104" s="224" t="s">
        <v>52</v>
      </c>
      <c r="K104" s="224" t="s">
        <v>51</v>
      </c>
      <c r="L104" s="224" t="s">
        <v>50</v>
      </c>
      <c r="N104" s="144"/>
    </row>
    <row r="105" spans="1:30">
      <c r="A105" s="1082" t="s">
        <v>96</v>
      </c>
      <c r="B105" s="1025" t="s">
        <v>1771</v>
      </c>
      <c r="C105" s="224" t="s">
        <v>49</v>
      </c>
      <c r="D105" s="1027" t="str">
        <f t="shared" si="1"/>
        <v>AFRICA|Sheep/Goats - Fattening Rams/Bucks</v>
      </c>
      <c r="E105" s="224">
        <v>0.1</v>
      </c>
      <c r="F105" s="224">
        <v>0.15</v>
      </c>
      <c r="G105" s="224">
        <v>0.2</v>
      </c>
      <c r="I105" s="1522" t="s">
        <v>1822</v>
      </c>
      <c r="J105" s="1523"/>
      <c r="K105" s="1523"/>
      <c r="L105" s="1524"/>
      <c r="N105" s="144"/>
    </row>
    <row r="106" spans="1:30">
      <c r="A106" s="1082" t="s">
        <v>96</v>
      </c>
      <c r="B106" s="1025" t="s">
        <v>1773</v>
      </c>
      <c r="C106" s="224" t="s">
        <v>49</v>
      </c>
      <c r="D106" s="1027" t="str">
        <f t="shared" si="1"/>
        <v>AFRICA|Sheep/Goats - Lambs/Kids</v>
      </c>
      <c r="E106" s="224">
        <v>0.1</v>
      </c>
      <c r="F106" s="224">
        <v>0.15</v>
      </c>
      <c r="G106" s="224">
        <v>0.2</v>
      </c>
      <c r="I106" s="224" t="s">
        <v>49</v>
      </c>
      <c r="J106" s="224">
        <v>0.1</v>
      </c>
      <c r="K106" s="224">
        <v>0.15</v>
      </c>
      <c r="L106" s="224">
        <v>0.2</v>
      </c>
      <c r="N106" s="144"/>
    </row>
    <row r="107" spans="1:30">
      <c r="A107" s="1082" t="s">
        <v>96</v>
      </c>
      <c r="B107" s="1025" t="s">
        <v>1669</v>
      </c>
      <c r="C107" s="1077" t="s">
        <v>1658</v>
      </c>
      <c r="D107" s="1027" t="str">
        <f t="shared" si="1"/>
        <v>AFRICA|Pigs - lactating/pregnant sows</v>
      </c>
      <c r="E107" s="224">
        <v>0</v>
      </c>
      <c r="F107" s="224">
        <v>1</v>
      </c>
      <c r="G107" s="224">
        <v>1</v>
      </c>
      <c r="I107" s="224" t="s">
        <v>48</v>
      </c>
      <c r="J107" s="224">
        <v>0.11</v>
      </c>
      <c r="K107" s="224">
        <v>0.17</v>
      </c>
      <c r="L107" s="224">
        <v>0.22</v>
      </c>
      <c r="N107" s="144"/>
    </row>
    <row r="108" spans="1:30">
      <c r="A108" s="1082" t="s">
        <v>96</v>
      </c>
      <c r="B108" s="1025" t="s">
        <v>1668</v>
      </c>
      <c r="C108" s="1077" t="s">
        <v>1658</v>
      </c>
      <c r="D108" s="1027" t="str">
        <f t="shared" si="1"/>
        <v>AFRICA|Pigs - dry sows/boars</v>
      </c>
      <c r="E108" s="224">
        <v>0</v>
      </c>
      <c r="F108" s="224">
        <v>1</v>
      </c>
      <c r="G108" s="224">
        <v>1</v>
      </c>
      <c r="N108" s="144"/>
    </row>
    <row r="109" spans="1:30">
      <c r="A109" s="1082" t="s">
        <v>96</v>
      </c>
      <c r="B109" s="1025" t="s">
        <v>1667</v>
      </c>
      <c r="C109" s="1077" t="s">
        <v>1658</v>
      </c>
      <c r="D109" s="1027" t="str">
        <f t="shared" si="1"/>
        <v>AFRICA|Pigs - growers</v>
      </c>
      <c r="E109" s="224">
        <v>0</v>
      </c>
      <c r="F109" s="224">
        <v>1</v>
      </c>
      <c r="G109" s="224">
        <v>1</v>
      </c>
      <c r="I109" s="144" t="s">
        <v>47</v>
      </c>
      <c r="N109" s="144"/>
    </row>
    <row r="110" spans="1:30">
      <c r="A110" s="224" t="s">
        <v>1818</v>
      </c>
      <c r="B110" s="1025" t="s">
        <v>1813</v>
      </c>
      <c r="C110" s="1077" t="s">
        <v>60</v>
      </c>
      <c r="D110" s="1027" t="str">
        <f t="shared" si="1"/>
        <v>ASIA|Cows (local)</v>
      </c>
      <c r="E110" s="224">
        <v>10</v>
      </c>
      <c r="F110" s="224">
        <v>19</v>
      </c>
      <c r="G110" s="224">
        <v>30</v>
      </c>
      <c r="I110" s="245" t="s">
        <v>701</v>
      </c>
      <c r="N110" s="144"/>
    </row>
    <row r="111" spans="1:30">
      <c r="A111" s="224" t="s">
        <v>1818</v>
      </c>
      <c r="B111" s="1025" t="s">
        <v>1814</v>
      </c>
      <c r="C111" s="1077" t="s">
        <v>60</v>
      </c>
      <c r="D111" s="1027" t="str">
        <f t="shared" si="1"/>
        <v>ASIA|Cows (improved)</v>
      </c>
      <c r="E111" s="224">
        <v>10</v>
      </c>
      <c r="F111" s="224">
        <v>19</v>
      </c>
      <c r="G111" s="227">
        <v>30</v>
      </c>
      <c r="I111" s="245"/>
      <c r="N111" s="144"/>
    </row>
    <row r="112" spans="1:30">
      <c r="A112" s="224" t="s">
        <v>1818</v>
      </c>
      <c r="B112" s="1025" t="s">
        <v>1067</v>
      </c>
      <c r="C112" s="1077" t="s">
        <v>59</v>
      </c>
      <c r="D112" s="1027" t="str">
        <f t="shared" si="1"/>
        <v>ASIA|Adult cattle - male</v>
      </c>
      <c r="E112" s="224">
        <v>1</v>
      </c>
      <c r="F112" s="224">
        <v>1</v>
      </c>
      <c r="G112" s="224">
        <v>1</v>
      </c>
      <c r="I112" s="245"/>
      <c r="N112" s="144"/>
    </row>
    <row r="113" spans="1:14">
      <c r="A113" s="224" t="s">
        <v>1818</v>
      </c>
      <c r="B113" s="1025" t="s">
        <v>1018</v>
      </c>
      <c r="C113" s="1077" t="s">
        <v>59</v>
      </c>
      <c r="D113" s="1027" t="str">
        <f t="shared" si="1"/>
        <v>ASIA|Steers/heifers</v>
      </c>
      <c r="E113" s="224">
        <v>1</v>
      </c>
      <c r="F113" s="224">
        <v>1</v>
      </c>
      <c r="G113" s="224">
        <v>1</v>
      </c>
      <c r="I113" s="245"/>
      <c r="N113" s="144"/>
    </row>
    <row r="114" spans="1:14">
      <c r="A114" s="224" t="s">
        <v>1818</v>
      </c>
      <c r="B114" s="1025" t="s">
        <v>631</v>
      </c>
      <c r="C114" s="1077" t="s">
        <v>59</v>
      </c>
      <c r="D114" s="1027" t="str">
        <f t="shared" si="1"/>
        <v>ASIA|Calves</v>
      </c>
      <c r="E114" s="224">
        <v>1</v>
      </c>
      <c r="F114" s="224">
        <v>1</v>
      </c>
      <c r="G114" s="224">
        <v>1</v>
      </c>
      <c r="I114" s="245"/>
      <c r="N114" s="144"/>
    </row>
    <row r="115" spans="1:14">
      <c r="A115" s="224" t="s">
        <v>1818</v>
      </c>
      <c r="B115" s="1025" t="s">
        <v>1815</v>
      </c>
      <c r="C115" s="1077" t="s">
        <v>59</v>
      </c>
      <c r="D115" s="1027" t="str">
        <f t="shared" si="1"/>
        <v>ASIA|Buffalo (dairy)</v>
      </c>
      <c r="E115" s="224">
        <v>1</v>
      </c>
      <c r="F115" s="224">
        <v>2</v>
      </c>
      <c r="G115" s="224">
        <v>2</v>
      </c>
      <c r="I115" s="245"/>
      <c r="N115" s="144"/>
    </row>
    <row r="116" spans="1:14">
      <c r="A116" s="224" t="s">
        <v>1818</v>
      </c>
      <c r="B116" s="1025" t="s">
        <v>1766</v>
      </c>
      <c r="C116" s="1077" t="s">
        <v>59</v>
      </c>
      <c r="D116" s="1027" t="str">
        <f t="shared" si="1"/>
        <v>ASIA|Buffalo steers/heifers</v>
      </c>
      <c r="E116" s="224">
        <v>1</v>
      </c>
      <c r="F116" s="224">
        <v>2</v>
      </c>
      <c r="G116" s="224">
        <v>2</v>
      </c>
      <c r="I116" s="245"/>
      <c r="N116" s="144"/>
    </row>
    <row r="117" spans="1:14">
      <c r="A117" s="224" t="s">
        <v>1818</v>
      </c>
      <c r="B117" s="1025" t="s">
        <v>1767</v>
      </c>
      <c r="C117" s="1077" t="s">
        <v>59</v>
      </c>
      <c r="D117" s="1027" t="str">
        <f t="shared" si="1"/>
        <v>ASIA|Buffalo calves</v>
      </c>
      <c r="E117" s="224">
        <v>1</v>
      </c>
      <c r="F117" s="224">
        <v>2</v>
      </c>
      <c r="G117" s="224">
        <v>2</v>
      </c>
      <c r="I117" s="245"/>
      <c r="N117" s="144"/>
    </row>
    <row r="118" spans="1:14">
      <c r="A118" s="224" t="s">
        <v>1818</v>
      </c>
      <c r="B118" s="1025" t="s">
        <v>1770</v>
      </c>
      <c r="C118" s="224" t="s">
        <v>49</v>
      </c>
      <c r="D118" s="1027" t="str">
        <f t="shared" si="1"/>
        <v>ASIA|Sheep/Goats - Ewes/Does</v>
      </c>
      <c r="E118" s="224">
        <v>0.1</v>
      </c>
      <c r="F118" s="224">
        <v>0.15</v>
      </c>
      <c r="G118" s="224">
        <v>0.2</v>
      </c>
      <c r="I118" s="245"/>
      <c r="N118" s="144"/>
    </row>
    <row r="119" spans="1:14">
      <c r="A119" s="224" t="s">
        <v>1818</v>
      </c>
      <c r="B119" s="1025" t="s">
        <v>1772</v>
      </c>
      <c r="C119" s="224" t="s">
        <v>49</v>
      </c>
      <c r="D119" s="1027" t="str">
        <f t="shared" si="1"/>
        <v>ASIA|Sheep/Goats - Breeding Rams/Bucks</v>
      </c>
      <c r="E119" s="224">
        <v>0.1</v>
      </c>
      <c r="F119" s="224">
        <v>0.15</v>
      </c>
      <c r="G119" s="224">
        <v>0.2</v>
      </c>
      <c r="I119" s="245"/>
      <c r="N119" s="144"/>
    </row>
    <row r="120" spans="1:14">
      <c r="A120" s="224" t="s">
        <v>1818</v>
      </c>
      <c r="B120" s="1025" t="s">
        <v>1771</v>
      </c>
      <c r="C120" s="224" t="s">
        <v>49</v>
      </c>
      <c r="D120" s="1027" t="str">
        <f t="shared" si="1"/>
        <v>ASIA|Sheep/Goats - Fattening Rams/Bucks</v>
      </c>
      <c r="E120" s="224">
        <v>0.1</v>
      </c>
      <c r="F120" s="224">
        <v>0.15</v>
      </c>
      <c r="G120" s="224">
        <v>0.2</v>
      </c>
      <c r="I120" s="245"/>
      <c r="N120" s="144"/>
    </row>
    <row r="121" spans="1:14">
      <c r="A121" s="224" t="s">
        <v>1818</v>
      </c>
      <c r="B121" s="1025" t="s">
        <v>1773</v>
      </c>
      <c r="C121" s="224" t="s">
        <v>49</v>
      </c>
      <c r="D121" s="1027" t="str">
        <f t="shared" si="1"/>
        <v>ASIA|Sheep/Goats - Lambs/Kids</v>
      </c>
      <c r="E121" s="224">
        <v>0.1</v>
      </c>
      <c r="F121" s="224">
        <v>0.15</v>
      </c>
      <c r="G121" s="224">
        <v>0.2</v>
      </c>
      <c r="I121" s="245"/>
      <c r="N121" s="144"/>
    </row>
    <row r="122" spans="1:14">
      <c r="A122" s="224" t="s">
        <v>1818</v>
      </c>
      <c r="B122" s="1025" t="s">
        <v>1669</v>
      </c>
      <c r="C122" s="1077" t="s">
        <v>1658</v>
      </c>
      <c r="D122" s="1027" t="str">
        <f t="shared" si="1"/>
        <v>ASIA|Pigs - lactating/pregnant sows</v>
      </c>
      <c r="E122" s="224">
        <v>2</v>
      </c>
      <c r="F122" s="224">
        <v>4</v>
      </c>
      <c r="G122" s="224">
        <v>6</v>
      </c>
      <c r="I122" s="245"/>
      <c r="N122" s="144"/>
    </row>
    <row r="123" spans="1:14">
      <c r="A123" s="224" t="s">
        <v>1818</v>
      </c>
      <c r="B123" s="1025" t="s">
        <v>1668</v>
      </c>
      <c r="C123" s="1077" t="s">
        <v>1658</v>
      </c>
      <c r="D123" s="1027" t="str">
        <f t="shared" si="1"/>
        <v>ASIA|Pigs - dry sows/boars</v>
      </c>
      <c r="E123" s="224">
        <v>2</v>
      </c>
      <c r="F123" s="224">
        <v>4</v>
      </c>
      <c r="G123" s="224">
        <v>6</v>
      </c>
      <c r="I123" s="245"/>
      <c r="N123" s="144"/>
    </row>
    <row r="124" spans="1:14">
      <c r="A124" s="224" t="s">
        <v>1818</v>
      </c>
      <c r="B124" s="1025" t="s">
        <v>1667</v>
      </c>
      <c r="C124" s="1077" t="s">
        <v>1658</v>
      </c>
      <c r="D124" s="1027" t="str">
        <f t="shared" si="1"/>
        <v>ASIA|Pigs - growers</v>
      </c>
      <c r="E124" s="224">
        <v>2</v>
      </c>
      <c r="F124" s="224">
        <v>4</v>
      </c>
      <c r="G124" s="224">
        <v>6</v>
      </c>
      <c r="I124" s="245"/>
      <c r="N124" s="144"/>
    </row>
    <row r="125" spans="1:14">
      <c r="I125" s="245"/>
      <c r="N125" s="144"/>
    </row>
    <row r="127" spans="1:14">
      <c r="A127" s="144" t="s">
        <v>433</v>
      </c>
    </row>
    <row r="128" spans="1:14" s="152" customFormat="1" ht="63">
      <c r="A128" s="1082" t="s">
        <v>429</v>
      </c>
      <c r="B128" s="1082" t="s">
        <v>430</v>
      </c>
      <c r="C128" s="1082" t="s">
        <v>431</v>
      </c>
      <c r="D128" s="1082" t="s">
        <v>432</v>
      </c>
      <c r="N128" s="242"/>
    </row>
    <row r="129" spans="1:6">
      <c r="A129" s="172"/>
      <c r="B129" s="1077"/>
      <c r="C129" s="1077" t="s">
        <v>120</v>
      </c>
      <c r="D129" s="1077" t="s">
        <v>360</v>
      </c>
    </row>
    <row r="130" spans="1:6">
      <c r="A130" s="1482" t="s">
        <v>434</v>
      </c>
      <c r="B130" s="1097" t="s">
        <v>446</v>
      </c>
      <c r="C130" s="1097" t="s">
        <v>123</v>
      </c>
      <c r="D130" s="1077"/>
    </row>
    <row r="131" spans="1:6">
      <c r="A131" s="1482"/>
      <c r="B131" s="162" t="s">
        <v>435</v>
      </c>
      <c r="C131" s="222">
        <v>0.28000000000000003</v>
      </c>
      <c r="D131" s="1077" t="s">
        <v>437</v>
      </c>
      <c r="E131" s="11"/>
      <c r="F131" s="1082" t="s">
        <v>452</v>
      </c>
    </row>
    <row r="132" spans="1:6">
      <c r="A132" s="1482"/>
      <c r="B132" s="162" t="s">
        <v>637</v>
      </c>
      <c r="C132" s="222">
        <v>0.2</v>
      </c>
      <c r="D132" s="1077" t="s">
        <v>438</v>
      </c>
      <c r="E132" s="11"/>
      <c r="F132" s="1082" t="s">
        <v>436</v>
      </c>
    </row>
    <row r="133" spans="1:6">
      <c r="A133" s="1482"/>
      <c r="B133" s="162" t="s">
        <v>461</v>
      </c>
      <c r="C133" s="222">
        <v>0.3</v>
      </c>
      <c r="D133" s="1077" t="s">
        <v>437</v>
      </c>
      <c r="E133" s="162"/>
      <c r="F133" s="1082" t="s">
        <v>456</v>
      </c>
    </row>
    <row r="134" spans="1:6">
      <c r="A134" s="1482"/>
      <c r="B134" s="162"/>
      <c r="C134" s="222"/>
      <c r="D134" s="1077"/>
      <c r="E134" s="243"/>
      <c r="F134" s="1082" t="s">
        <v>121</v>
      </c>
    </row>
    <row r="135" spans="1:6">
      <c r="A135" s="1482"/>
      <c r="B135" s="162"/>
      <c r="C135" s="222"/>
      <c r="D135" s="1077"/>
      <c r="E135" s="243"/>
      <c r="F135" s="1082" t="s">
        <v>1592</v>
      </c>
    </row>
    <row r="136" spans="1:6">
      <c r="A136" s="1482"/>
      <c r="B136" s="162"/>
      <c r="C136" s="222"/>
      <c r="D136" s="1077"/>
      <c r="E136" s="243"/>
      <c r="F136" s="827" t="s">
        <v>1593</v>
      </c>
    </row>
    <row r="137" spans="1:6">
      <c r="A137" s="1482"/>
      <c r="B137" s="162" t="s">
        <v>436</v>
      </c>
      <c r="C137" s="222">
        <v>7.0000000000000007E-2</v>
      </c>
      <c r="D137" s="1077" t="s">
        <v>439</v>
      </c>
      <c r="E137" s="243"/>
    </row>
    <row r="138" spans="1:6">
      <c r="A138" s="1501" t="s">
        <v>440</v>
      </c>
      <c r="B138" s="818" t="s">
        <v>637</v>
      </c>
      <c r="C138" s="222">
        <v>0.3</v>
      </c>
      <c r="D138" s="1077" t="s">
        <v>442</v>
      </c>
      <c r="E138" s="243"/>
    </row>
    <row r="139" spans="1:6">
      <c r="A139" s="1502"/>
      <c r="B139" s="818" t="s">
        <v>461</v>
      </c>
      <c r="C139" s="222">
        <v>0.45</v>
      </c>
      <c r="D139" s="1077" t="s">
        <v>443</v>
      </c>
    </row>
    <row r="140" spans="1:6">
      <c r="A140" s="1503"/>
      <c r="B140" s="818" t="s">
        <v>441</v>
      </c>
      <c r="C140" s="222">
        <v>0.3</v>
      </c>
      <c r="D140" s="1077" t="s">
        <v>444</v>
      </c>
    </row>
    <row r="141" spans="1:6">
      <c r="A141" s="172" t="s">
        <v>445</v>
      </c>
      <c r="B141" s="172"/>
      <c r="C141" s="244"/>
      <c r="D141" s="172"/>
    </row>
    <row r="144" spans="1:6" ht="22.5" customHeight="1"/>
    <row r="147" spans="1:32">
      <c r="A147" s="162" t="s">
        <v>461</v>
      </c>
      <c r="B147" s="167" t="s">
        <v>636</v>
      </c>
    </row>
    <row r="148" spans="1:32">
      <c r="A148" s="162" t="s">
        <v>637</v>
      </c>
      <c r="B148" s="167" t="s">
        <v>1812</v>
      </c>
    </row>
    <row r="149" spans="1:32">
      <c r="A149" s="162" t="s">
        <v>702</v>
      </c>
      <c r="B149" s="167" t="s">
        <v>638</v>
      </c>
    </row>
    <row r="150" spans="1:32">
      <c r="A150" s="167"/>
    </row>
    <row r="152" spans="1:32">
      <c r="A152" s="144" t="s">
        <v>448</v>
      </c>
    </row>
    <row r="155" spans="1:32" s="152" customFormat="1" ht="31.5" customHeight="1">
      <c r="A155" s="1500" t="s">
        <v>449</v>
      </c>
      <c r="B155" s="1511" t="s">
        <v>453</v>
      </c>
      <c r="C155" s="1512"/>
      <c r="D155" s="1512"/>
      <c r="E155" s="1512"/>
      <c r="F155" s="1512"/>
      <c r="G155" s="1512"/>
      <c r="H155" s="1512"/>
      <c r="I155" s="1512"/>
      <c r="J155" s="1512"/>
      <c r="K155" s="1512"/>
      <c r="L155" s="1512"/>
      <c r="M155" s="1512"/>
      <c r="N155" s="1512"/>
      <c r="O155" s="1512"/>
      <c r="P155" s="1512"/>
      <c r="Q155" s="1512"/>
      <c r="R155" s="1512"/>
      <c r="S155" s="1512"/>
      <c r="T155" s="1512"/>
      <c r="U155" s="1512"/>
      <c r="V155" s="1512"/>
      <c r="W155" s="1512"/>
      <c r="X155" s="1512"/>
      <c r="Y155" s="1512"/>
      <c r="Z155" s="1512"/>
      <c r="AA155" s="1512"/>
      <c r="AB155" s="1512"/>
      <c r="AC155" s="1512"/>
      <c r="AD155" s="1512"/>
      <c r="AE155" s="1513"/>
    </row>
    <row r="156" spans="1:32" s="225" customFormat="1">
      <c r="A156" s="1500"/>
      <c r="B156" s="1500" t="s">
        <v>450</v>
      </c>
      <c r="C156" s="1500"/>
      <c r="D156" s="1500"/>
      <c r="E156" s="1500"/>
      <c r="F156" s="1500"/>
      <c r="G156" s="1482" t="s">
        <v>65</v>
      </c>
      <c r="H156" s="1482"/>
      <c r="I156" s="1482"/>
      <c r="J156" s="1482"/>
      <c r="K156" s="1482"/>
      <c r="L156" s="1482"/>
      <c r="M156" s="1482"/>
      <c r="N156" s="1482"/>
      <c r="O156" s="1482"/>
      <c r="P156" s="1482"/>
      <c r="Q156" s="1482"/>
      <c r="R156" s="1482"/>
      <c r="S156" s="1482"/>
      <c r="T156" s="1482"/>
      <c r="U156" s="1482"/>
      <c r="V156" s="1482"/>
      <c r="W156" s="1482"/>
      <c r="X156" s="1482"/>
      <c r="Y156" s="1482"/>
      <c r="Z156" s="1482"/>
      <c r="AA156" s="1482"/>
      <c r="AB156" s="1482"/>
      <c r="AC156" s="1482" t="s">
        <v>454</v>
      </c>
      <c r="AD156" s="1482"/>
      <c r="AE156" s="1482"/>
    </row>
    <row r="157" spans="1:32" s="225" customFormat="1">
      <c r="A157" s="1500"/>
      <c r="B157" s="1082" t="s">
        <v>451</v>
      </c>
      <c r="C157" s="1082">
        <v>11</v>
      </c>
      <c r="D157" s="1082">
        <v>12</v>
      </c>
      <c r="E157" s="1082">
        <v>13</v>
      </c>
      <c r="F157" s="1082">
        <v>14</v>
      </c>
      <c r="G157" s="1082">
        <v>15</v>
      </c>
      <c r="H157" s="1077">
        <v>16</v>
      </c>
      <c r="I157" s="1077">
        <v>17</v>
      </c>
      <c r="J157" s="1077">
        <v>18</v>
      </c>
      <c r="K157" s="1077">
        <v>19</v>
      </c>
      <c r="L157" s="1077"/>
      <c r="M157" s="1077"/>
      <c r="N157" s="223">
        <v>20</v>
      </c>
      <c r="O157" s="1077">
        <v>21</v>
      </c>
      <c r="P157" s="1077">
        <v>22</v>
      </c>
      <c r="Q157" s="1077"/>
      <c r="R157" s="1077"/>
      <c r="S157" s="1077"/>
      <c r="T157" s="1077"/>
      <c r="U157" s="1077"/>
      <c r="V157" s="1077"/>
      <c r="W157" s="1077"/>
      <c r="X157" s="1077"/>
      <c r="Y157" s="1077"/>
      <c r="Z157" s="1077">
        <v>23</v>
      </c>
      <c r="AA157" s="1077">
        <v>24</v>
      </c>
      <c r="AB157" s="1077">
        <v>25</v>
      </c>
      <c r="AC157" s="1077">
        <v>26</v>
      </c>
      <c r="AD157" s="1077">
        <v>27</v>
      </c>
      <c r="AE157" s="1077" t="s">
        <v>455</v>
      </c>
    </row>
    <row r="158" spans="1:32">
      <c r="A158" s="1082" t="s">
        <v>452</v>
      </c>
      <c r="B158" s="1504">
        <v>1</v>
      </c>
      <c r="C158" s="1504"/>
      <c r="D158" s="1504"/>
      <c r="E158" s="1504"/>
      <c r="F158" s="1504"/>
      <c r="G158" s="404">
        <v>1.5</v>
      </c>
      <c r="H158" s="404"/>
      <c r="I158" s="404"/>
      <c r="J158" s="404"/>
      <c r="K158" s="404"/>
      <c r="L158" s="404"/>
      <c r="M158" s="404"/>
      <c r="N158" s="404"/>
      <c r="O158" s="404"/>
      <c r="P158" s="404"/>
      <c r="Q158" s="404"/>
      <c r="R158" s="404"/>
      <c r="S158" s="404"/>
      <c r="T158" s="404"/>
      <c r="U158" s="404"/>
      <c r="V158" s="404"/>
      <c r="W158" s="404"/>
      <c r="X158" s="404"/>
      <c r="Y158" s="404"/>
      <c r="Z158" s="404"/>
      <c r="AA158" s="404"/>
      <c r="AB158" s="404"/>
      <c r="AC158" s="1514">
        <v>2</v>
      </c>
      <c r="AD158" s="1514"/>
      <c r="AE158" s="1514"/>
    </row>
    <row r="159" spans="1:32">
      <c r="A159" s="1082" t="s">
        <v>436</v>
      </c>
      <c r="B159" s="1496">
        <v>0.1</v>
      </c>
      <c r="C159" s="1497"/>
      <c r="D159" s="1497"/>
      <c r="E159" s="1497"/>
      <c r="F159" s="1498"/>
      <c r="G159" s="696">
        <v>0.5</v>
      </c>
      <c r="H159" s="700"/>
      <c r="I159" s="700"/>
      <c r="J159" s="700"/>
      <c r="K159" s="700"/>
      <c r="L159" s="700"/>
      <c r="M159" s="700"/>
      <c r="N159" s="700"/>
      <c r="O159" s="700"/>
      <c r="P159" s="700"/>
      <c r="Q159" s="700"/>
      <c r="R159" s="700"/>
      <c r="S159" s="700"/>
      <c r="T159" s="700"/>
      <c r="U159" s="700"/>
      <c r="V159" s="700"/>
      <c r="W159" s="700"/>
      <c r="X159" s="700"/>
      <c r="Y159" s="700"/>
      <c r="Z159" s="700"/>
      <c r="AA159" s="700"/>
      <c r="AB159" s="826"/>
      <c r="AC159" s="1525">
        <v>1</v>
      </c>
      <c r="AD159" s="1526"/>
      <c r="AE159" s="1527"/>
    </row>
    <row r="160" spans="1:32">
      <c r="A160" s="1082" t="s">
        <v>456</v>
      </c>
      <c r="B160" s="1496">
        <v>2</v>
      </c>
      <c r="C160" s="1497"/>
      <c r="D160" s="1497"/>
      <c r="E160" s="1497"/>
      <c r="F160" s="1498"/>
      <c r="G160" s="696">
        <v>4</v>
      </c>
      <c r="H160" s="700"/>
      <c r="I160" s="700"/>
      <c r="J160" s="700"/>
      <c r="K160" s="700"/>
      <c r="L160" s="700"/>
      <c r="M160" s="700"/>
      <c r="N160" s="700"/>
      <c r="O160" s="700"/>
      <c r="P160" s="700"/>
      <c r="Q160" s="700"/>
      <c r="R160" s="700"/>
      <c r="S160" s="700"/>
      <c r="T160" s="700"/>
      <c r="U160" s="700"/>
      <c r="V160" s="700"/>
      <c r="W160" s="700"/>
      <c r="X160" s="700"/>
      <c r="Y160" s="700"/>
      <c r="Z160" s="700"/>
      <c r="AA160" s="700"/>
      <c r="AB160" s="826"/>
      <c r="AC160" s="1528">
        <v>5</v>
      </c>
      <c r="AD160" s="1529"/>
      <c r="AE160" s="1530"/>
      <c r="AF160" s="184"/>
    </row>
    <row r="161" spans="1:32">
      <c r="A161" s="1082" t="s">
        <v>121</v>
      </c>
      <c r="B161" s="1496">
        <v>1</v>
      </c>
      <c r="C161" s="1497"/>
      <c r="D161" s="1497"/>
      <c r="E161" s="1497"/>
      <c r="F161" s="1498"/>
      <c r="G161" s="696">
        <v>1.5</v>
      </c>
      <c r="H161" s="700"/>
      <c r="I161" s="700"/>
      <c r="J161" s="700"/>
      <c r="K161" s="700"/>
      <c r="L161" s="700"/>
      <c r="M161" s="700"/>
      <c r="N161" s="700"/>
      <c r="O161" s="700"/>
      <c r="P161" s="700"/>
      <c r="Q161" s="700"/>
      <c r="R161" s="700"/>
      <c r="S161" s="700"/>
      <c r="T161" s="700"/>
      <c r="U161" s="700"/>
      <c r="V161" s="700"/>
      <c r="W161" s="700"/>
      <c r="X161" s="700"/>
      <c r="Y161" s="700"/>
      <c r="Z161" s="700"/>
      <c r="AA161" s="700"/>
      <c r="AB161" s="826"/>
      <c r="AC161" s="1528">
        <v>2</v>
      </c>
      <c r="AD161" s="1529"/>
      <c r="AE161" s="1530"/>
      <c r="AF161" s="184"/>
    </row>
    <row r="162" spans="1:32">
      <c r="A162" s="172"/>
      <c r="B162" s="172"/>
    </row>
    <row r="163" spans="1:32">
      <c r="A163" s="1500" t="s">
        <v>449</v>
      </c>
      <c r="B163" s="172" t="s">
        <v>453</v>
      </c>
    </row>
    <row r="164" spans="1:32">
      <c r="A164" s="1500"/>
      <c r="B164" s="172"/>
    </row>
    <row r="165" spans="1:32">
      <c r="A165" s="1500"/>
      <c r="B165" s="172"/>
    </row>
    <row r="166" spans="1:32">
      <c r="A166" s="1082" t="s">
        <v>452</v>
      </c>
      <c r="B166" s="835">
        <v>1.4999999999999999E-2</v>
      </c>
    </row>
    <row r="167" spans="1:32">
      <c r="A167" s="1082" t="s">
        <v>456</v>
      </c>
      <c r="B167" s="837">
        <v>0.04</v>
      </c>
    </row>
    <row r="168" spans="1:32">
      <c r="A168" s="1082" t="s">
        <v>121</v>
      </c>
      <c r="B168" s="836">
        <v>1.4999999999999999E-2</v>
      </c>
    </row>
    <row r="169" spans="1:32">
      <c r="A169" s="152"/>
      <c r="B169" s="184"/>
    </row>
    <row r="170" spans="1:32">
      <c r="A170" s="246" t="s">
        <v>447</v>
      </c>
    </row>
    <row r="171" spans="1:32">
      <c r="A171" s="1082" t="s">
        <v>285</v>
      </c>
    </row>
    <row r="172" spans="1:32">
      <c r="A172" s="1082" t="s">
        <v>291</v>
      </c>
      <c r="F172" s="870"/>
      <c r="G172" s="870"/>
    </row>
    <row r="173" spans="1:32">
      <c r="A173" s="1081" t="s">
        <v>292</v>
      </c>
      <c r="F173" s="870"/>
      <c r="G173" s="870"/>
    </row>
    <row r="174" spans="1:32">
      <c r="A174" s="224" t="s">
        <v>1823</v>
      </c>
      <c r="B174" s="1082" t="s">
        <v>1826</v>
      </c>
      <c r="C174" s="1077" t="s">
        <v>1830</v>
      </c>
      <c r="D174" s="224" t="s">
        <v>1824</v>
      </c>
      <c r="E174" s="1077" t="s">
        <v>388</v>
      </c>
      <c r="F174" s="1024"/>
      <c r="G174" s="1024"/>
    </row>
    <row r="175" spans="1:32">
      <c r="A175" s="224" t="s">
        <v>1639</v>
      </c>
      <c r="B175" s="1025" t="s">
        <v>1813</v>
      </c>
      <c r="C175" s="1077" t="s">
        <v>75</v>
      </c>
      <c r="D175" s="1027" t="str">
        <f>A175 &amp;"|" &amp;B175</f>
        <v>LATIN AMERICA|Cows (local)</v>
      </c>
      <c r="E175" s="1077">
        <v>0.48</v>
      </c>
      <c r="F175" s="870"/>
      <c r="G175" s="870"/>
    </row>
    <row r="176" spans="1:32">
      <c r="A176" s="224" t="s">
        <v>1639</v>
      </c>
      <c r="B176" s="1025" t="s">
        <v>1814</v>
      </c>
      <c r="C176" s="1077" t="s">
        <v>75</v>
      </c>
      <c r="D176" s="1027" t="str">
        <f t="shared" ref="D176:D219" si="2">A176 &amp;"|" &amp;B176</f>
        <v>LATIN AMERICA|Cows (improved)</v>
      </c>
      <c r="E176" s="1077">
        <v>0.48</v>
      </c>
      <c r="F176" s="870"/>
      <c r="G176" s="870"/>
    </row>
    <row r="177" spans="1:5">
      <c r="A177" s="224" t="s">
        <v>1639</v>
      </c>
      <c r="B177" s="1025" t="s">
        <v>1067</v>
      </c>
      <c r="C177" s="1077" t="s">
        <v>104</v>
      </c>
      <c r="D177" s="1027" t="str">
        <f t="shared" si="2"/>
        <v>LATIN AMERICA|Adult cattle - male</v>
      </c>
      <c r="E177" s="1077">
        <v>0.36</v>
      </c>
    </row>
    <row r="178" spans="1:5">
      <c r="A178" s="224" t="s">
        <v>1639</v>
      </c>
      <c r="B178" s="1025" t="s">
        <v>1018</v>
      </c>
      <c r="C178" s="1077" t="s">
        <v>104</v>
      </c>
      <c r="D178" s="1027" t="str">
        <f t="shared" si="2"/>
        <v>LATIN AMERICA|Steers/heifers</v>
      </c>
      <c r="E178" s="1077">
        <v>0.36</v>
      </c>
    </row>
    <row r="179" spans="1:5">
      <c r="A179" s="224" t="s">
        <v>1639</v>
      </c>
      <c r="B179" s="1025" t="s">
        <v>631</v>
      </c>
      <c r="C179" s="1077" t="s">
        <v>104</v>
      </c>
      <c r="D179" s="1027" t="str">
        <f t="shared" si="2"/>
        <v>LATIN AMERICA|Calves</v>
      </c>
      <c r="E179" s="1077">
        <v>0.36</v>
      </c>
    </row>
    <row r="180" spans="1:5">
      <c r="A180" s="224" t="s">
        <v>1639</v>
      </c>
      <c r="B180" s="1025" t="s">
        <v>1815</v>
      </c>
      <c r="C180" s="1077" t="s">
        <v>104</v>
      </c>
      <c r="D180" s="1027" t="str">
        <f t="shared" si="2"/>
        <v>LATIN AMERICA|Buffalo (dairy)</v>
      </c>
      <c r="E180" s="1077">
        <v>0.36</v>
      </c>
    </row>
    <row r="181" spans="1:5">
      <c r="A181" s="224" t="s">
        <v>1639</v>
      </c>
      <c r="B181" s="1025" t="s">
        <v>1766</v>
      </c>
      <c r="C181" s="1077" t="s">
        <v>104</v>
      </c>
      <c r="D181" s="1027" t="str">
        <f t="shared" si="2"/>
        <v>LATIN AMERICA|Buffalo steers/heifers</v>
      </c>
      <c r="E181" s="1077">
        <v>0.36</v>
      </c>
    </row>
    <row r="182" spans="1:5">
      <c r="A182" s="224" t="s">
        <v>1639</v>
      </c>
      <c r="B182" s="1025" t="s">
        <v>1767</v>
      </c>
      <c r="C182" s="1077" t="s">
        <v>104</v>
      </c>
      <c r="D182" s="1027" t="str">
        <f t="shared" si="2"/>
        <v>LATIN AMERICA|Buffalo calves</v>
      </c>
      <c r="E182" s="1077">
        <v>0.36</v>
      </c>
    </row>
    <row r="183" spans="1:5">
      <c r="A183" s="224" t="s">
        <v>1639</v>
      </c>
      <c r="B183" s="1025" t="s">
        <v>1770</v>
      </c>
      <c r="C183" s="1077" t="s">
        <v>633</v>
      </c>
      <c r="D183" s="1027" t="str">
        <f t="shared" si="2"/>
        <v>LATIN AMERICA|Sheep/Goats - Ewes/Does</v>
      </c>
      <c r="E183" s="1077">
        <v>1.17</v>
      </c>
    </row>
    <row r="184" spans="1:5">
      <c r="A184" s="224" t="s">
        <v>1639</v>
      </c>
      <c r="B184" s="1025" t="s">
        <v>1772</v>
      </c>
      <c r="C184" s="1077" t="s">
        <v>633</v>
      </c>
      <c r="D184" s="1027" t="str">
        <f t="shared" si="2"/>
        <v>LATIN AMERICA|Sheep/Goats - Breeding Rams/Bucks</v>
      </c>
      <c r="E184" s="1077">
        <v>1.17</v>
      </c>
    </row>
    <row r="185" spans="1:5">
      <c r="A185" s="224" t="s">
        <v>1639</v>
      </c>
      <c r="B185" s="1025" t="s">
        <v>1771</v>
      </c>
      <c r="C185" s="1077" t="s">
        <v>633</v>
      </c>
      <c r="D185" s="1027" t="str">
        <f t="shared" si="2"/>
        <v>LATIN AMERICA|Sheep/Goats - Fattening Rams/Bucks</v>
      </c>
      <c r="E185" s="1077">
        <v>1.17</v>
      </c>
    </row>
    <row r="186" spans="1:5">
      <c r="A186" s="224" t="s">
        <v>1639</v>
      </c>
      <c r="B186" s="1025" t="s">
        <v>1773</v>
      </c>
      <c r="C186" s="1077" t="s">
        <v>633</v>
      </c>
      <c r="D186" s="1027" t="str">
        <f t="shared" si="2"/>
        <v>LATIN AMERICA|Sheep/Goats - Lambs/Kids</v>
      </c>
      <c r="E186" s="1077">
        <v>1.17</v>
      </c>
    </row>
    <row r="187" spans="1:5">
      <c r="A187" s="224" t="s">
        <v>1639</v>
      </c>
      <c r="B187" s="1025" t="s">
        <v>1669</v>
      </c>
      <c r="C187" s="1077" t="s">
        <v>1665</v>
      </c>
      <c r="D187" s="1027" t="str">
        <f t="shared" si="2"/>
        <v>LATIN AMERICA|Pigs - lactating/pregnant sows</v>
      </c>
      <c r="E187" s="1077">
        <v>1.64</v>
      </c>
    </row>
    <row r="188" spans="1:5">
      <c r="A188" s="224" t="s">
        <v>1639</v>
      </c>
      <c r="B188" s="1025" t="s">
        <v>1668</v>
      </c>
      <c r="C188" s="1077" t="s">
        <v>1665</v>
      </c>
      <c r="D188" s="1027" t="str">
        <f t="shared" si="2"/>
        <v>LATIN AMERICA|Pigs - dry sows/boars</v>
      </c>
      <c r="E188" s="1077">
        <v>1.64</v>
      </c>
    </row>
    <row r="189" spans="1:5">
      <c r="A189" s="224" t="s">
        <v>1639</v>
      </c>
      <c r="B189" s="1025" t="s">
        <v>1667</v>
      </c>
      <c r="C189" s="1077" t="s">
        <v>1665</v>
      </c>
      <c r="D189" s="1027" t="str">
        <f t="shared" si="2"/>
        <v>LATIN AMERICA|Pigs - growers</v>
      </c>
      <c r="E189" s="1077">
        <v>1.64</v>
      </c>
    </row>
    <row r="190" spans="1:5">
      <c r="A190" s="1082" t="s">
        <v>96</v>
      </c>
      <c r="B190" s="1025" t="s">
        <v>1813</v>
      </c>
      <c r="C190" s="1077" t="s">
        <v>75</v>
      </c>
      <c r="D190" s="1027" t="str">
        <f t="shared" si="2"/>
        <v>AFRICA|Cows (local)</v>
      </c>
      <c r="E190" s="224">
        <v>0.6</v>
      </c>
    </row>
    <row r="191" spans="1:5">
      <c r="A191" s="1082" t="s">
        <v>96</v>
      </c>
      <c r="B191" s="1025" t="s">
        <v>1814</v>
      </c>
      <c r="C191" s="1077" t="s">
        <v>75</v>
      </c>
      <c r="D191" s="1027" t="str">
        <f t="shared" si="2"/>
        <v>AFRICA|Cows (improved)</v>
      </c>
      <c r="E191" s="224">
        <v>0.6</v>
      </c>
    </row>
    <row r="192" spans="1:5">
      <c r="A192" s="1082" t="s">
        <v>96</v>
      </c>
      <c r="B192" s="1025" t="s">
        <v>1067</v>
      </c>
      <c r="C192" s="1077" t="s">
        <v>104</v>
      </c>
      <c r="D192" s="1027" t="str">
        <f t="shared" si="2"/>
        <v>AFRICA|Adult cattle - male</v>
      </c>
      <c r="E192" s="224">
        <v>0.63</v>
      </c>
    </row>
    <row r="193" spans="1:5">
      <c r="A193" s="1082" t="s">
        <v>96</v>
      </c>
      <c r="B193" s="1025" t="s">
        <v>1018</v>
      </c>
      <c r="C193" s="1077" t="s">
        <v>104</v>
      </c>
      <c r="D193" s="1027" t="str">
        <f t="shared" si="2"/>
        <v>AFRICA|Steers/heifers</v>
      </c>
      <c r="E193" s="224">
        <v>0.63</v>
      </c>
    </row>
    <row r="194" spans="1:5">
      <c r="A194" s="1082" t="s">
        <v>96</v>
      </c>
      <c r="B194" s="1025" t="s">
        <v>631</v>
      </c>
      <c r="C194" s="1077" t="s">
        <v>104</v>
      </c>
      <c r="D194" s="1027" t="str">
        <f t="shared" si="2"/>
        <v>AFRICA|Calves</v>
      </c>
      <c r="E194" s="224">
        <v>0.63</v>
      </c>
    </row>
    <row r="195" spans="1:5">
      <c r="A195" s="1082" t="s">
        <v>96</v>
      </c>
      <c r="B195" s="1025" t="s">
        <v>1815</v>
      </c>
      <c r="C195" s="1077" t="s">
        <v>104</v>
      </c>
      <c r="D195" s="1027" t="str">
        <f t="shared" si="2"/>
        <v>AFRICA|Buffalo (dairy)</v>
      </c>
      <c r="E195" s="224">
        <v>0.63</v>
      </c>
    </row>
    <row r="196" spans="1:5">
      <c r="A196" s="1082" t="s">
        <v>96</v>
      </c>
      <c r="B196" s="1025" t="s">
        <v>1766</v>
      </c>
      <c r="C196" s="1077" t="s">
        <v>104</v>
      </c>
      <c r="D196" s="1027" t="str">
        <f t="shared" si="2"/>
        <v>AFRICA|Buffalo steers/heifers</v>
      </c>
      <c r="E196" s="224">
        <v>0.63</v>
      </c>
    </row>
    <row r="197" spans="1:5">
      <c r="A197" s="1082" t="s">
        <v>96</v>
      </c>
      <c r="B197" s="1025" t="s">
        <v>1767</v>
      </c>
      <c r="C197" s="1077" t="s">
        <v>104</v>
      </c>
      <c r="D197" s="1027" t="str">
        <f t="shared" si="2"/>
        <v>AFRICA|Buffalo calves</v>
      </c>
      <c r="E197" s="224">
        <v>0.63</v>
      </c>
    </row>
    <row r="198" spans="1:5">
      <c r="A198" s="1082" t="s">
        <v>96</v>
      </c>
      <c r="B198" s="1025" t="s">
        <v>1770</v>
      </c>
      <c r="C198" s="1077" t="s">
        <v>633</v>
      </c>
      <c r="D198" s="1027" t="str">
        <f t="shared" si="2"/>
        <v>AFRICA|Sheep/Goats - Ewes/Does</v>
      </c>
      <c r="E198" s="224">
        <v>1.17</v>
      </c>
    </row>
    <row r="199" spans="1:5">
      <c r="A199" s="1082" t="s">
        <v>96</v>
      </c>
      <c r="B199" s="1025" t="s">
        <v>1772</v>
      </c>
      <c r="C199" s="1077" t="s">
        <v>633</v>
      </c>
      <c r="D199" s="1027" t="str">
        <f t="shared" si="2"/>
        <v>AFRICA|Sheep/Goats - Breeding Rams/Bucks</v>
      </c>
      <c r="E199" s="224">
        <v>1.17</v>
      </c>
    </row>
    <row r="200" spans="1:5">
      <c r="A200" s="1082" t="s">
        <v>96</v>
      </c>
      <c r="B200" s="1025" t="s">
        <v>1771</v>
      </c>
      <c r="C200" s="1077" t="s">
        <v>633</v>
      </c>
      <c r="D200" s="1027" t="str">
        <f t="shared" si="2"/>
        <v>AFRICA|Sheep/Goats - Fattening Rams/Bucks</v>
      </c>
      <c r="E200" s="224">
        <v>1.17</v>
      </c>
    </row>
    <row r="201" spans="1:5">
      <c r="A201" s="1082" t="s">
        <v>96</v>
      </c>
      <c r="B201" s="1025" t="s">
        <v>1773</v>
      </c>
      <c r="C201" s="1077" t="s">
        <v>633</v>
      </c>
      <c r="D201" s="1027" t="str">
        <f t="shared" si="2"/>
        <v>AFRICA|Sheep/Goats - Lambs/Kids</v>
      </c>
      <c r="E201" s="224">
        <v>1.17</v>
      </c>
    </row>
    <row r="202" spans="1:5">
      <c r="A202" s="1082" t="s">
        <v>96</v>
      </c>
      <c r="B202" s="1025" t="s">
        <v>1669</v>
      </c>
      <c r="C202" s="1077" t="s">
        <v>1665</v>
      </c>
      <c r="D202" s="1027" t="str">
        <f t="shared" si="2"/>
        <v>AFRICA|Pigs - lactating/pregnant sows</v>
      </c>
      <c r="E202" s="224">
        <v>1.64</v>
      </c>
    </row>
    <row r="203" spans="1:5">
      <c r="A203" s="1082" t="s">
        <v>96</v>
      </c>
      <c r="B203" s="1025" t="s">
        <v>1668</v>
      </c>
      <c r="C203" s="1077" t="s">
        <v>1665</v>
      </c>
      <c r="D203" s="1027" t="str">
        <f t="shared" si="2"/>
        <v>AFRICA|Pigs - dry sows/boars</v>
      </c>
      <c r="E203" s="224">
        <v>1.64</v>
      </c>
    </row>
    <row r="204" spans="1:5">
      <c r="A204" s="1082" t="s">
        <v>96</v>
      </c>
      <c r="B204" s="1025" t="s">
        <v>1667</v>
      </c>
      <c r="C204" s="1077" t="s">
        <v>1665</v>
      </c>
      <c r="D204" s="1027" t="str">
        <f t="shared" si="2"/>
        <v>AFRICA|Pigs - growers</v>
      </c>
      <c r="E204" s="224">
        <v>1.64</v>
      </c>
    </row>
    <row r="205" spans="1:5">
      <c r="A205" s="224" t="s">
        <v>1818</v>
      </c>
      <c r="B205" s="1025" t="s">
        <v>1813</v>
      </c>
      <c r="C205" s="1077" t="s">
        <v>75</v>
      </c>
      <c r="D205" s="1027" t="str">
        <f t="shared" si="2"/>
        <v>ASIA|Cows (local)</v>
      </c>
      <c r="E205" s="224">
        <v>0.47</v>
      </c>
    </row>
    <row r="206" spans="1:5">
      <c r="A206" s="224" t="s">
        <v>1818</v>
      </c>
      <c r="B206" s="1025" t="s">
        <v>1814</v>
      </c>
      <c r="C206" s="1077" t="s">
        <v>75</v>
      </c>
      <c r="D206" s="1027" t="str">
        <f t="shared" si="2"/>
        <v>ASIA|Cows (improved)</v>
      </c>
      <c r="E206" s="224">
        <v>0.47</v>
      </c>
    </row>
    <row r="207" spans="1:5">
      <c r="A207" s="224" t="s">
        <v>1818</v>
      </c>
      <c r="B207" s="1025" t="s">
        <v>1067</v>
      </c>
      <c r="C207" s="1077" t="s">
        <v>104</v>
      </c>
      <c r="D207" s="1027" t="str">
        <f t="shared" si="2"/>
        <v>ASIA|Adult cattle - male</v>
      </c>
      <c r="E207" s="224">
        <v>0.34</v>
      </c>
    </row>
    <row r="208" spans="1:5">
      <c r="A208" s="224" t="s">
        <v>1818</v>
      </c>
      <c r="B208" s="1025" t="s">
        <v>1018</v>
      </c>
      <c r="C208" s="1077" t="s">
        <v>104</v>
      </c>
      <c r="D208" s="1027" t="str">
        <f t="shared" si="2"/>
        <v>ASIA|Steers/heifers</v>
      </c>
      <c r="E208" s="224">
        <v>0.34</v>
      </c>
    </row>
    <row r="209" spans="1:5">
      <c r="A209" s="224" t="s">
        <v>1818</v>
      </c>
      <c r="B209" s="1025" t="s">
        <v>631</v>
      </c>
      <c r="C209" s="1077" t="s">
        <v>104</v>
      </c>
      <c r="D209" s="1027" t="str">
        <f t="shared" si="2"/>
        <v>ASIA|Calves</v>
      </c>
      <c r="E209" s="224">
        <v>0.34</v>
      </c>
    </row>
    <row r="210" spans="1:5">
      <c r="A210" s="224" t="s">
        <v>1818</v>
      </c>
      <c r="B210" s="1025" t="s">
        <v>1815</v>
      </c>
      <c r="C210" s="1077" t="s">
        <v>104</v>
      </c>
      <c r="D210" s="1027" t="str">
        <f t="shared" si="2"/>
        <v>ASIA|Buffalo (dairy)</v>
      </c>
      <c r="E210" s="224">
        <v>0.34</v>
      </c>
    </row>
    <row r="211" spans="1:5">
      <c r="A211" s="224" t="s">
        <v>1818</v>
      </c>
      <c r="B211" s="1025" t="s">
        <v>1766</v>
      </c>
      <c r="C211" s="1077" t="s">
        <v>104</v>
      </c>
      <c r="D211" s="1027" t="str">
        <f t="shared" si="2"/>
        <v>ASIA|Buffalo steers/heifers</v>
      </c>
      <c r="E211" s="224">
        <v>0.34</v>
      </c>
    </row>
    <row r="212" spans="1:5">
      <c r="A212" s="224" t="s">
        <v>1818</v>
      </c>
      <c r="B212" s="1025" t="s">
        <v>1767</v>
      </c>
      <c r="C212" s="1077" t="s">
        <v>104</v>
      </c>
      <c r="D212" s="1027" t="str">
        <f t="shared" si="2"/>
        <v>ASIA|Buffalo calves</v>
      </c>
      <c r="E212" s="224">
        <v>0.34</v>
      </c>
    </row>
    <row r="213" spans="1:5">
      <c r="A213" s="224" t="s">
        <v>1818</v>
      </c>
      <c r="B213" s="1025" t="s">
        <v>1770</v>
      </c>
      <c r="C213" s="1077" t="s">
        <v>633</v>
      </c>
      <c r="D213" s="1027" t="str">
        <f t="shared" si="2"/>
        <v>ASIA|Sheep/Goats - Ewes/Does</v>
      </c>
      <c r="E213" s="224">
        <v>1.17</v>
      </c>
    </row>
    <row r="214" spans="1:5">
      <c r="A214" s="224" t="s">
        <v>1818</v>
      </c>
      <c r="B214" s="1025" t="s">
        <v>1772</v>
      </c>
      <c r="C214" s="1077" t="s">
        <v>633</v>
      </c>
      <c r="D214" s="1027" t="str">
        <f t="shared" si="2"/>
        <v>ASIA|Sheep/Goats - Breeding Rams/Bucks</v>
      </c>
      <c r="E214" s="224">
        <v>1.17</v>
      </c>
    </row>
    <row r="215" spans="1:5">
      <c r="A215" s="224" t="s">
        <v>1818</v>
      </c>
      <c r="B215" s="1025" t="s">
        <v>1771</v>
      </c>
      <c r="C215" s="1077" t="s">
        <v>633</v>
      </c>
      <c r="D215" s="1027" t="str">
        <f t="shared" si="2"/>
        <v>ASIA|Sheep/Goats - Fattening Rams/Bucks</v>
      </c>
      <c r="E215" s="224">
        <v>1.17</v>
      </c>
    </row>
    <row r="216" spans="1:5">
      <c r="A216" s="224" t="s">
        <v>1818</v>
      </c>
      <c r="B216" s="1025" t="s">
        <v>1773</v>
      </c>
      <c r="C216" s="1077" t="s">
        <v>633</v>
      </c>
      <c r="D216" s="1027" t="str">
        <f t="shared" si="2"/>
        <v>ASIA|Sheep/Goats - Lambs/Kids</v>
      </c>
      <c r="E216" s="224">
        <v>1.17</v>
      </c>
    </row>
    <row r="217" spans="1:5">
      <c r="A217" s="224" t="s">
        <v>1818</v>
      </c>
      <c r="B217" s="1025" t="s">
        <v>1669</v>
      </c>
      <c r="C217" s="1077" t="s">
        <v>1665</v>
      </c>
      <c r="D217" s="1027" t="str">
        <f t="shared" si="2"/>
        <v>ASIA|Pigs - lactating/pregnant sows</v>
      </c>
      <c r="E217" s="224">
        <v>0.5</v>
      </c>
    </row>
    <row r="218" spans="1:5">
      <c r="A218" s="224" t="s">
        <v>1818</v>
      </c>
      <c r="B218" s="1025" t="s">
        <v>1668</v>
      </c>
      <c r="C218" s="1077" t="s">
        <v>1665</v>
      </c>
      <c r="D218" s="1027" t="str">
        <f t="shared" si="2"/>
        <v>ASIA|Pigs - dry sows/boars</v>
      </c>
      <c r="E218" s="224">
        <v>0.5</v>
      </c>
    </row>
    <row r="219" spans="1:5">
      <c r="A219" s="224" t="s">
        <v>1818</v>
      </c>
      <c r="B219" s="1025" t="s">
        <v>1667</v>
      </c>
      <c r="C219" s="1077" t="s">
        <v>1665</v>
      </c>
      <c r="D219" s="1027" t="str">
        <f t="shared" si="2"/>
        <v>ASIA|Pigs - growers</v>
      </c>
      <c r="E219" s="224">
        <v>0.5</v>
      </c>
    </row>
    <row r="220" spans="1:5">
      <c r="A220" s="990"/>
      <c r="B220" s="990"/>
      <c r="C220" s="1024"/>
      <c r="D220" s="1024"/>
    </row>
    <row r="221" spans="1:5">
      <c r="A221" s="990"/>
      <c r="B221" s="990"/>
      <c r="C221" s="1024"/>
      <c r="D221" s="1024"/>
    </row>
    <row r="223" spans="1:5">
      <c r="A223" s="167" t="s">
        <v>457</v>
      </c>
    </row>
    <row r="224" spans="1:5">
      <c r="A224" s="1490" t="s">
        <v>458</v>
      </c>
      <c r="B224" s="1082" t="s">
        <v>459</v>
      </c>
    </row>
    <row r="225" spans="1:36">
      <c r="A225" s="1491"/>
      <c r="B225" s="1082" t="s">
        <v>460</v>
      </c>
    </row>
    <row r="226" spans="1:36">
      <c r="A226" s="1499"/>
      <c r="B226" s="1082" t="s">
        <v>396</v>
      </c>
    </row>
    <row r="227" spans="1:36">
      <c r="A227" s="1082" t="s">
        <v>452</v>
      </c>
      <c r="B227" s="829">
        <v>0.01</v>
      </c>
      <c r="D227" s="152"/>
      <c r="E227" s="399"/>
    </row>
    <row r="228" spans="1:36">
      <c r="A228" s="1082" t="s">
        <v>456</v>
      </c>
      <c r="B228" s="247">
        <v>5.0000000000000001E-3</v>
      </c>
      <c r="D228" s="152"/>
      <c r="E228" s="830"/>
    </row>
    <row r="229" spans="1:36">
      <c r="A229" s="1082" t="s">
        <v>121</v>
      </c>
      <c r="B229" s="247">
        <v>0.02</v>
      </c>
      <c r="D229" s="152"/>
      <c r="E229" s="830"/>
    </row>
    <row r="232" spans="1:36">
      <c r="A232" s="144" t="s">
        <v>46</v>
      </c>
    </row>
    <row r="233" spans="1:36">
      <c r="A233" s="144" t="s">
        <v>45</v>
      </c>
    </row>
    <row r="234" spans="1:36">
      <c r="A234" s="1"/>
    </row>
    <row r="235" spans="1:36">
      <c r="O235" s="144" t="s">
        <v>44</v>
      </c>
    </row>
    <row r="236" spans="1:36" s="221" customFormat="1">
      <c r="A236" s="28" t="s">
        <v>43</v>
      </c>
      <c r="B236" s="247" t="s">
        <v>42</v>
      </c>
      <c r="C236" s="247" t="s">
        <v>41</v>
      </c>
      <c r="D236" s="28" t="s">
        <v>40</v>
      </c>
      <c r="E236" s="1082" t="s">
        <v>39</v>
      </c>
      <c r="N236" s="248"/>
      <c r="AA236" s="249"/>
      <c r="AJ236" s="152"/>
    </row>
    <row r="237" spans="1:36" ht="31.5">
      <c r="A237" s="1077" t="s">
        <v>38</v>
      </c>
      <c r="B237" s="162" t="s">
        <v>18</v>
      </c>
      <c r="C237" s="247" t="s">
        <v>37</v>
      </c>
      <c r="D237" s="1077">
        <v>0.01</v>
      </c>
      <c r="E237" s="1077" t="s">
        <v>28</v>
      </c>
    </row>
    <row r="238" spans="1:36" ht="63">
      <c r="A238" s="1077" t="s">
        <v>36</v>
      </c>
      <c r="B238" s="162" t="s">
        <v>35</v>
      </c>
      <c r="C238" s="247" t="s">
        <v>34</v>
      </c>
      <c r="D238" s="1077">
        <v>16</v>
      </c>
      <c r="E238" s="1077" t="s">
        <v>33</v>
      </c>
    </row>
    <row r="239" spans="1:36" ht="78.75">
      <c r="A239" s="1077" t="s">
        <v>32</v>
      </c>
      <c r="B239" s="162" t="s">
        <v>18</v>
      </c>
      <c r="C239" s="247" t="s">
        <v>29</v>
      </c>
      <c r="D239" s="1077">
        <v>0.02</v>
      </c>
      <c r="E239" s="1077" t="s">
        <v>31</v>
      </c>
    </row>
    <row r="240" spans="1:36" ht="78.75">
      <c r="A240" s="1077" t="s">
        <v>30</v>
      </c>
      <c r="B240" s="162" t="s">
        <v>18</v>
      </c>
      <c r="C240" s="247" t="s">
        <v>29</v>
      </c>
      <c r="D240" s="1077">
        <v>0.01</v>
      </c>
      <c r="E240" s="1077" t="s">
        <v>28</v>
      </c>
    </row>
    <row r="241" spans="1:6" ht="63">
      <c r="A241" s="1077" t="s">
        <v>27</v>
      </c>
      <c r="B241" s="162" t="s">
        <v>26</v>
      </c>
      <c r="C241" s="247" t="s">
        <v>25</v>
      </c>
      <c r="D241" s="1077">
        <v>0.01</v>
      </c>
      <c r="E241" s="1077" t="s">
        <v>24</v>
      </c>
    </row>
    <row r="242" spans="1:6" ht="47.25">
      <c r="A242" s="1077" t="s">
        <v>23</v>
      </c>
      <c r="B242" s="162" t="s">
        <v>22</v>
      </c>
      <c r="C242" s="247" t="s">
        <v>21</v>
      </c>
      <c r="D242" s="1077">
        <v>7.4999999999999997E-3</v>
      </c>
      <c r="E242" s="1077" t="s">
        <v>20</v>
      </c>
    </row>
    <row r="243" spans="1:6" ht="47.25">
      <c r="A243" s="1077" t="s">
        <v>19</v>
      </c>
      <c r="B243" s="162" t="s">
        <v>18</v>
      </c>
      <c r="C243" s="247" t="s">
        <v>17</v>
      </c>
      <c r="D243" s="1077">
        <v>3.0000000000000001E-3</v>
      </c>
      <c r="E243" s="1077" t="s">
        <v>16</v>
      </c>
    </row>
    <row r="244" spans="1:6">
      <c r="A244" s="1077"/>
      <c r="B244" s="162"/>
      <c r="C244" s="247"/>
      <c r="D244" s="1077"/>
      <c r="E244" s="1077"/>
    </row>
    <row r="245" spans="1:6" ht="47.25">
      <c r="A245" s="1077" t="s">
        <v>15</v>
      </c>
      <c r="B245" s="162" t="s">
        <v>14</v>
      </c>
      <c r="C245" s="247" t="s">
        <v>13</v>
      </c>
      <c r="D245" s="1077">
        <v>0.1</v>
      </c>
      <c r="E245" s="1077" t="s">
        <v>12</v>
      </c>
    </row>
    <row r="246" spans="1:6" ht="94.5">
      <c r="A246" s="1077" t="s">
        <v>11</v>
      </c>
      <c r="B246" s="162" t="s">
        <v>10</v>
      </c>
      <c r="C246" s="247" t="s">
        <v>9</v>
      </c>
      <c r="D246" s="1077">
        <v>0.2</v>
      </c>
      <c r="E246" s="1077" t="s">
        <v>8</v>
      </c>
    </row>
    <row r="247" spans="1:6" ht="94.5">
      <c r="A247" s="1077" t="s">
        <v>7</v>
      </c>
      <c r="B247" s="162" t="s">
        <v>6</v>
      </c>
      <c r="C247" s="247" t="s">
        <v>5</v>
      </c>
      <c r="D247" s="1077">
        <v>0.3</v>
      </c>
      <c r="E247" s="1082" t="s">
        <v>4</v>
      </c>
    </row>
    <row r="248" spans="1:6">
      <c r="A248" s="1077"/>
      <c r="B248" s="162"/>
      <c r="C248" s="162"/>
      <c r="D248" s="1077">
        <v>0</v>
      </c>
      <c r="E248" s="1077" t="s">
        <v>3</v>
      </c>
    </row>
    <row r="249" spans="1:6">
      <c r="A249" s="1096" t="s">
        <v>619</v>
      </c>
    </row>
    <row r="250" spans="1:6">
      <c r="B250" s="144" t="s">
        <v>543</v>
      </c>
      <c r="C250" s="144" t="s">
        <v>551</v>
      </c>
    </row>
    <row r="251" spans="1:6">
      <c r="A251" s="1487" t="s">
        <v>516</v>
      </c>
      <c r="B251" s="1488"/>
      <c r="C251" s="1488"/>
      <c r="D251" s="1488"/>
      <c r="E251" s="1489"/>
    </row>
    <row r="252" spans="1:6" ht="16.5" thickBot="1">
      <c r="A252" s="1081" t="s">
        <v>517</v>
      </c>
      <c r="B252" s="1081" t="s">
        <v>518</v>
      </c>
      <c r="C252" s="1081" t="s">
        <v>521</v>
      </c>
      <c r="D252" s="1081" t="s">
        <v>519</v>
      </c>
      <c r="F252" s="1081" t="s">
        <v>520</v>
      </c>
    </row>
    <row r="253" spans="1:6">
      <c r="A253" s="1493" t="s">
        <v>545</v>
      </c>
      <c r="B253" s="1551" t="s">
        <v>522</v>
      </c>
      <c r="C253" s="228" t="s">
        <v>523</v>
      </c>
      <c r="D253" s="228" t="s">
        <v>526</v>
      </c>
      <c r="E253" s="144" t="s">
        <v>703</v>
      </c>
      <c r="F253" s="229">
        <v>0.8</v>
      </c>
    </row>
    <row r="254" spans="1:6">
      <c r="A254" s="1494"/>
      <c r="B254" s="1491"/>
      <c r="C254" s="1082"/>
      <c r="D254" s="1082" t="s">
        <v>527</v>
      </c>
      <c r="E254" s="144" t="s">
        <v>704</v>
      </c>
      <c r="F254" s="230">
        <v>0.69</v>
      </c>
    </row>
    <row r="255" spans="1:6">
      <c r="A255" s="1494"/>
      <c r="B255" s="1491"/>
      <c r="C255" s="1490" t="s">
        <v>524</v>
      </c>
      <c r="D255" s="1082" t="s">
        <v>526</v>
      </c>
      <c r="E255" s="144" t="s">
        <v>705</v>
      </c>
      <c r="F255" s="230">
        <v>0.57999999999999996</v>
      </c>
    </row>
    <row r="256" spans="1:6">
      <c r="A256" s="1494"/>
      <c r="B256" s="1491"/>
      <c r="C256" s="1499"/>
      <c r="D256" s="1082" t="s">
        <v>528</v>
      </c>
      <c r="E256" s="144" t="s">
        <v>706</v>
      </c>
      <c r="F256" s="230">
        <v>0.48</v>
      </c>
    </row>
    <row r="257" spans="1:6">
      <c r="A257" s="1494"/>
      <c r="B257" s="1499"/>
      <c r="C257" s="1082" t="s">
        <v>525</v>
      </c>
      <c r="D257" s="1082" t="s">
        <v>529</v>
      </c>
      <c r="E257" s="144" t="s">
        <v>707</v>
      </c>
      <c r="F257" s="230">
        <v>0.64</v>
      </c>
    </row>
    <row r="258" spans="1:6">
      <c r="A258" s="1494"/>
      <c r="B258" s="1077" t="s">
        <v>530</v>
      </c>
      <c r="C258" s="1077" t="s">
        <v>531</v>
      </c>
      <c r="D258" s="1082" t="s">
        <v>532</v>
      </c>
      <c r="E258" s="231" t="s">
        <v>530</v>
      </c>
      <c r="F258" s="232">
        <v>1.1000000000000001</v>
      </c>
    </row>
    <row r="259" spans="1:6">
      <c r="A259" s="1494"/>
      <c r="B259" s="1082" t="s">
        <v>533</v>
      </c>
      <c r="C259" s="1082" t="s">
        <v>531</v>
      </c>
      <c r="D259" s="1082" t="s">
        <v>532</v>
      </c>
      <c r="E259" s="231" t="s">
        <v>708</v>
      </c>
      <c r="F259" s="230">
        <v>1</v>
      </c>
    </row>
    <row r="260" spans="1:6">
      <c r="A260" s="1494"/>
      <c r="B260" s="1490" t="s">
        <v>534</v>
      </c>
      <c r="C260" s="1500" t="s">
        <v>536</v>
      </c>
      <c r="D260" s="1082" t="s">
        <v>526</v>
      </c>
      <c r="E260" s="144" t="s">
        <v>709</v>
      </c>
      <c r="F260" s="230">
        <v>0.93</v>
      </c>
    </row>
    <row r="261" spans="1:6">
      <c r="A261" s="1494"/>
      <c r="B261" s="1491"/>
      <c r="C261" s="1500"/>
      <c r="D261" s="1082" t="s">
        <v>535</v>
      </c>
      <c r="E261" s="144" t="s">
        <v>710</v>
      </c>
      <c r="F261" s="230">
        <v>0.82</v>
      </c>
    </row>
    <row r="262" spans="1:6" ht="16.5" thickBot="1">
      <c r="A262" s="1494"/>
      <c r="B262" s="1491"/>
      <c r="C262" s="1081" t="s">
        <v>537</v>
      </c>
      <c r="D262" s="1081" t="s">
        <v>529</v>
      </c>
      <c r="E262" s="144" t="s">
        <v>711</v>
      </c>
      <c r="F262" s="233">
        <v>0.88</v>
      </c>
    </row>
    <row r="263" spans="1:6">
      <c r="A263" s="1505" t="s">
        <v>538</v>
      </c>
      <c r="B263" s="1087" t="s">
        <v>539</v>
      </c>
      <c r="C263" s="228" t="s">
        <v>531</v>
      </c>
      <c r="D263" s="228" t="s">
        <v>532</v>
      </c>
      <c r="E263" s="144" t="s">
        <v>539</v>
      </c>
      <c r="F263" s="234">
        <v>1</v>
      </c>
    </row>
    <row r="264" spans="1:6">
      <c r="A264" s="1506"/>
      <c r="B264" s="1500" t="s">
        <v>540</v>
      </c>
      <c r="C264" s="1500" t="s">
        <v>541</v>
      </c>
      <c r="D264" s="1082" t="s">
        <v>526</v>
      </c>
      <c r="E264" s="144" t="s">
        <v>712</v>
      </c>
      <c r="F264" s="232">
        <v>1.02</v>
      </c>
    </row>
    <row r="265" spans="1:6">
      <c r="A265" s="1506"/>
      <c r="B265" s="1500"/>
      <c r="C265" s="1500"/>
      <c r="D265" s="1082" t="s">
        <v>527</v>
      </c>
      <c r="E265" s="144" t="s">
        <v>713</v>
      </c>
      <c r="F265" s="232">
        <v>1.08</v>
      </c>
    </row>
    <row r="266" spans="1:6">
      <c r="A266" s="1506"/>
      <c r="B266" s="1500"/>
      <c r="C266" s="1500" t="s">
        <v>542</v>
      </c>
      <c r="D266" s="1082" t="s">
        <v>526</v>
      </c>
      <c r="E266" s="144" t="s">
        <v>714</v>
      </c>
      <c r="F266" s="232">
        <v>1.0900000000000001</v>
      </c>
    </row>
    <row r="267" spans="1:6">
      <c r="A267" s="1506"/>
      <c r="B267" s="1500"/>
      <c r="C267" s="1500"/>
      <c r="D267" s="1082" t="s">
        <v>528</v>
      </c>
      <c r="E267" s="144" t="s">
        <v>715</v>
      </c>
      <c r="F267" s="232">
        <v>1.1499999999999999</v>
      </c>
    </row>
    <row r="268" spans="1:6">
      <c r="A268" s="1506"/>
      <c r="B268" s="1500"/>
      <c r="C268" s="1082" t="s">
        <v>525</v>
      </c>
      <c r="D268" s="1082" t="s">
        <v>529</v>
      </c>
      <c r="E268" s="144" t="s">
        <v>716</v>
      </c>
      <c r="F268" s="232">
        <v>1.0900000000000001</v>
      </c>
    </row>
    <row r="269" spans="1:6">
      <c r="A269" s="1506"/>
      <c r="B269" s="1500" t="s">
        <v>544</v>
      </c>
      <c r="C269" s="1500" t="s">
        <v>541</v>
      </c>
      <c r="D269" s="1082" t="s">
        <v>526</v>
      </c>
      <c r="E269" s="144" t="s">
        <v>717</v>
      </c>
      <c r="F269" s="232">
        <v>1.1000000000000001</v>
      </c>
    </row>
    <row r="270" spans="1:6">
      <c r="A270" s="1506"/>
      <c r="B270" s="1500"/>
      <c r="C270" s="1500"/>
      <c r="D270" s="1082" t="s">
        <v>527</v>
      </c>
      <c r="E270" s="144" t="s">
        <v>718</v>
      </c>
      <c r="F270" s="232">
        <v>1.1499999999999999</v>
      </c>
    </row>
    <row r="271" spans="1:6">
      <c r="A271" s="1506"/>
      <c r="B271" s="1500"/>
      <c r="C271" s="1500" t="s">
        <v>542</v>
      </c>
      <c r="D271" s="1082" t="s">
        <v>526</v>
      </c>
      <c r="E271" s="144" t="s">
        <v>719</v>
      </c>
      <c r="F271" s="232">
        <v>1.17</v>
      </c>
    </row>
    <row r="272" spans="1:6">
      <c r="A272" s="1506"/>
      <c r="B272" s="1500"/>
      <c r="C272" s="1500"/>
      <c r="D272" s="1082" t="s">
        <v>528</v>
      </c>
      <c r="E272" s="144" t="s">
        <v>720</v>
      </c>
      <c r="F272" s="232">
        <v>1.22</v>
      </c>
    </row>
    <row r="273" spans="1:6" ht="16.5" thickBot="1">
      <c r="A273" s="1555"/>
      <c r="B273" s="1490"/>
      <c r="C273" s="1081" t="s">
        <v>525</v>
      </c>
      <c r="D273" s="1081" t="s">
        <v>529</v>
      </c>
      <c r="E273" s="144" t="s">
        <v>721</v>
      </c>
      <c r="F273" s="235">
        <v>1.1599999999999999</v>
      </c>
    </row>
    <row r="274" spans="1:6">
      <c r="A274" s="1505" t="s">
        <v>546</v>
      </c>
      <c r="B274" s="1552" t="s">
        <v>547</v>
      </c>
      <c r="C274" s="1509" t="s">
        <v>541</v>
      </c>
      <c r="D274" s="228" t="s">
        <v>526</v>
      </c>
      <c r="E274" s="144" t="s">
        <v>722</v>
      </c>
      <c r="F274" s="234">
        <v>0.95</v>
      </c>
    </row>
    <row r="275" spans="1:6">
      <c r="A275" s="1506"/>
      <c r="B275" s="1482"/>
      <c r="C275" s="1489"/>
      <c r="D275" s="1082" t="s">
        <v>527</v>
      </c>
      <c r="E275" s="144" t="s">
        <v>723</v>
      </c>
      <c r="F275" s="232">
        <v>0.92</v>
      </c>
    </row>
    <row r="276" spans="1:6">
      <c r="A276" s="1506"/>
      <c r="B276" s="1482"/>
      <c r="C276" s="1500" t="s">
        <v>542</v>
      </c>
      <c r="D276" s="1082" t="s">
        <v>526</v>
      </c>
      <c r="E276" s="144" t="s">
        <v>724</v>
      </c>
      <c r="F276" s="232">
        <v>0.95</v>
      </c>
    </row>
    <row r="277" spans="1:6">
      <c r="A277" s="1506"/>
      <c r="B277" s="1482"/>
      <c r="C277" s="1500"/>
      <c r="D277" s="1082" t="s">
        <v>528</v>
      </c>
      <c r="E277" s="144" t="s">
        <v>725</v>
      </c>
      <c r="F277" s="232">
        <v>0.92</v>
      </c>
    </row>
    <row r="278" spans="1:6">
      <c r="A278" s="1506"/>
      <c r="B278" s="1482"/>
      <c r="C278" s="1082" t="s">
        <v>525</v>
      </c>
      <c r="D278" s="1082" t="s">
        <v>529</v>
      </c>
      <c r="E278" s="144" t="s">
        <v>726</v>
      </c>
      <c r="F278" s="232">
        <v>0.94</v>
      </c>
    </row>
    <row r="279" spans="1:6">
      <c r="A279" s="1506"/>
      <c r="B279" s="1082" t="s">
        <v>548</v>
      </c>
      <c r="C279" s="1077" t="s">
        <v>531</v>
      </c>
      <c r="D279" s="1082" t="s">
        <v>532</v>
      </c>
      <c r="E279" s="144" t="s">
        <v>727</v>
      </c>
      <c r="F279" s="232">
        <v>1</v>
      </c>
    </row>
    <row r="280" spans="1:6">
      <c r="A280" s="1506"/>
      <c r="B280" s="1500" t="s">
        <v>549</v>
      </c>
      <c r="C280" s="1500" t="s">
        <v>536</v>
      </c>
      <c r="D280" s="1082" t="s">
        <v>526</v>
      </c>
      <c r="E280" s="144" t="s">
        <v>728</v>
      </c>
      <c r="F280" s="232">
        <v>1.04</v>
      </c>
    </row>
    <row r="281" spans="1:6">
      <c r="A281" s="1506"/>
      <c r="B281" s="1500"/>
      <c r="C281" s="1500"/>
      <c r="D281" s="1082" t="s">
        <v>535</v>
      </c>
      <c r="E281" s="144" t="s">
        <v>729</v>
      </c>
      <c r="F281" s="232">
        <v>1.1100000000000001</v>
      </c>
    </row>
    <row r="282" spans="1:6">
      <c r="A282" s="1506"/>
      <c r="B282" s="1500"/>
      <c r="C282" s="250" t="s">
        <v>537</v>
      </c>
      <c r="D282" s="1081" t="s">
        <v>529</v>
      </c>
      <c r="E282" s="144" t="s">
        <v>730</v>
      </c>
      <c r="F282" s="232">
        <v>1.08</v>
      </c>
    </row>
    <row r="283" spans="1:6">
      <c r="A283" s="1506"/>
      <c r="B283" s="1500" t="s">
        <v>550</v>
      </c>
      <c r="C283" s="1489" t="s">
        <v>536</v>
      </c>
      <c r="D283" s="1082" t="s">
        <v>526</v>
      </c>
      <c r="E283" s="144" t="s">
        <v>732</v>
      </c>
      <c r="F283" s="232">
        <v>1.37</v>
      </c>
    </row>
    <row r="284" spans="1:6">
      <c r="A284" s="1506"/>
      <c r="B284" s="1500"/>
      <c r="C284" s="1489"/>
      <c r="D284" s="1082" t="s">
        <v>535</v>
      </c>
      <c r="E284" s="144" t="s">
        <v>731</v>
      </c>
      <c r="F284" s="232">
        <v>1.44</v>
      </c>
    </row>
    <row r="285" spans="1:6" ht="16.5" thickBot="1">
      <c r="A285" s="1507"/>
      <c r="B285" s="1508"/>
      <c r="C285" s="251" t="s">
        <v>537</v>
      </c>
      <c r="D285" s="1084" t="s">
        <v>529</v>
      </c>
      <c r="E285" s="144" t="s">
        <v>733</v>
      </c>
      <c r="F285" s="236">
        <v>1.41</v>
      </c>
    </row>
    <row r="288" spans="1:6">
      <c r="B288" s="144" t="s">
        <v>552</v>
      </c>
      <c r="C288" s="144" t="s">
        <v>553</v>
      </c>
    </row>
    <row r="289" spans="1:8">
      <c r="A289" s="1500" t="s">
        <v>555</v>
      </c>
      <c r="B289" s="1500"/>
      <c r="C289" s="1500"/>
      <c r="D289" s="1500"/>
      <c r="E289" s="1500"/>
      <c r="F289" s="1500"/>
    </row>
    <row r="290" spans="1:8" ht="16.5" thickBot="1">
      <c r="A290" s="1083" t="s">
        <v>557</v>
      </c>
      <c r="B290" s="1083" t="s">
        <v>558</v>
      </c>
      <c r="C290" s="1083" t="s">
        <v>559</v>
      </c>
      <c r="E290" s="1083" t="s">
        <v>560</v>
      </c>
      <c r="G290" s="1539" t="s">
        <v>570</v>
      </c>
      <c r="H290" s="1540"/>
    </row>
    <row r="291" spans="1:8" ht="16.5" thickBot="1">
      <c r="A291" s="252" t="s">
        <v>556</v>
      </c>
      <c r="B291" s="253" t="s">
        <v>531</v>
      </c>
      <c r="C291" s="253" t="s">
        <v>531</v>
      </c>
      <c r="E291" s="254">
        <v>1</v>
      </c>
      <c r="G291" s="1545" t="s">
        <v>562</v>
      </c>
      <c r="H291" s="1546"/>
    </row>
    <row r="292" spans="1:8" ht="15.75" customHeight="1">
      <c r="A292" s="1493" t="s">
        <v>566</v>
      </c>
      <c r="B292" s="228" t="s">
        <v>567</v>
      </c>
      <c r="C292" s="1087" t="s">
        <v>531</v>
      </c>
      <c r="D292" s="144" t="s">
        <v>735</v>
      </c>
      <c r="E292" s="255">
        <v>1</v>
      </c>
      <c r="G292" s="1543" t="s">
        <v>563</v>
      </c>
      <c r="H292" s="1544"/>
    </row>
    <row r="293" spans="1:8" ht="15.75" customHeight="1">
      <c r="A293" s="1494"/>
      <c r="B293" s="1500" t="s">
        <v>564</v>
      </c>
      <c r="C293" s="1082" t="s">
        <v>541</v>
      </c>
      <c r="D293" s="144" t="s">
        <v>736</v>
      </c>
      <c r="E293" s="256">
        <v>0.95</v>
      </c>
      <c r="G293" s="1531" t="s">
        <v>568</v>
      </c>
      <c r="H293" s="1532"/>
    </row>
    <row r="294" spans="1:8">
      <c r="A294" s="1494"/>
      <c r="B294" s="1500"/>
      <c r="C294" s="1082" t="s">
        <v>542</v>
      </c>
      <c r="D294" s="144" t="s">
        <v>738</v>
      </c>
      <c r="E294" s="256">
        <v>0.97</v>
      </c>
      <c r="G294" s="1533"/>
      <c r="H294" s="1534"/>
    </row>
    <row r="295" spans="1:8">
      <c r="A295" s="1494"/>
      <c r="B295" s="1500"/>
      <c r="C295" s="1082" t="s">
        <v>525</v>
      </c>
      <c r="D295" s="144" t="s">
        <v>737</v>
      </c>
      <c r="E295" s="222">
        <v>0.96</v>
      </c>
      <c r="G295" s="1541"/>
      <c r="H295" s="1542"/>
    </row>
    <row r="296" spans="1:8" ht="15.75" customHeight="1">
      <c r="A296" s="1494"/>
      <c r="B296" s="1082" t="s">
        <v>565</v>
      </c>
      <c r="C296" s="1077" t="s">
        <v>531</v>
      </c>
      <c r="D296" s="144" t="s">
        <v>739</v>
      </c>
      <c r="E296" s="222">
        <v>0.7</v>
      </c>
      <c r="G296" s="1487" t="s">
        <v>569</v>
      </c>
      <c r="H296" s="1547"/>
    </row>
    <row r="297" spans="1:8" ht="15.75" customHeight="1">
      <c r="A297" s="1494"/>
      <c r="B297" s="1490" t="s">
        <v>571</v>
      </c>
      <c r="C297" s="1077" t="s">
        <v>541</v>
      </c>
      <c r="D297" s="144" t="s">
        <v>740</v>
      </c>
      <c r="E297" s="1077">
        <v>1.1399999999999999</v>
      </c>
      <c r="G297" s="1531" t="s">
        <v>573</v>
      </c>
      <c r="H297" s="1532"/>
    </row>
    <row r="298" spans="1:8">
      <c r="A298" s="1494"/>
      <c r="B298" s="1491"/>
      <c r="C298" s="1077" t="s">
        <v>572</v>
      </c>
      <c r="D298" s="144" t="s">
        <v>741</v>
      </c>
      <c r="E298" s="1077">
        <v>1.17</v>
      </c>
      <c r="G298" s="1533"/>
      <c r="H298" s="1534"/>
    </row>
    <row r="299" spans="1:8" ht="16.5" thickBot="1">
      <c r="A299" s="1495"/>
      <c r="B299" s="1492"/>
      <c r="C299" s="237" t="s">
        <v>537</v>
      </c>
      <c r="D299" s="144" t="s">
        <v>743</v>
      </c>
      <c r="E299" s="237">
        <v>1.1599999999999999</v>
      </c>
      <c r="G299" s="1535"/>
      <c r="H299" s="1536"/>
    </row>
    <row r="300" spans="1:8" ht="15.75" customHeight="1">
      <c r="A300" s="1553" t="s">
        <v>574</v>
      </c>
      <c r="B300" s="1087" t="s">
        <v>548</v>
      </c>
      <c r="C300" s="1087" t="s">
        <v>531</v>
      </c>
      <c r="D300" s="144" t="s">
        <v>742</v>
      </c>
      <c r="E300" s="1087">
        <v>1</v>
      </c>
      <c r="G300" s="1537" t="s">
        <v>734</v>
      </c>
      <c r="H300" s="1538"/>
    </row>
    <row r="301" spans="1:8" ht="16.5" thickBot="1">
      <c r="A301" s="1554"/>
      <c r="B301" s="237" t="s">
        <v>575</v>
      </c>
      <c r="C301" s="237" t="s">
        <v>531</v>
      </c>
      <c r="D301" s="144" t="s">
        <v>575</v>
      </c>
      <c r="E301" s="237">
        <v>1.1100000000000001</v>
      </c>
      <c r="G301" s="1535"/>
      <c r="H301" s="1536"/>
    </row>
    <row r="302" spans="1:8">
      <c r="D302" s="144" t="s">
        <v>744</v>
      </c>
      <c r="E302" s="227">
        <v>1</v>
      </c>
    </row>
    <row r="304" spans="1:8">
      <c r="A304" s="246" t="s">
        <v>619</v>
      </c>
    </row>
    <row r="305" spans="1:5">
      <c r="B305" s="144" t="s">
        <v>577</v>
      </c>
    </row>
    <row r="306" spans="1:5">
      <c r="A306" s="1487" t="s">
        <v>578</v>
      </c>
      <c r="B306" s="1488"/>
      <c r="C306" s="1488"/>
      <c r="D306" s="1488"/>
      <c r="E306" s="1489"/>
    </row>
    <row r="307" spans="1:5">
      <c r="A307" s="1077" t="s">
        <v>588</v>
      </c>
      <c r="B307" s="1082" t="s">
        <v>558</v>
      </c>
      <c r="C307" s="1077" t="s">
        <v>579</v>
      </c>
      <c r="D307" s="1077" t="s">
        <v>580</v>
      </c>
      <c r="E307" s="1077" t="s">
        <v>581</v>
      </c>
    </row>
    <row r="308" spans="1:5">
      <c r="A308" s="1482" t="s">
        <v>582</v>
      </c>
      <c r="B308" s="1500" t="s">
        <v>583</v>
      </c>
      <c r="C308" s="1077" t="s">
        <v>561</v>
      </c>
      <c r="D308" s="1077">
        <v>1</v>
      </c>
      <c r="E308" s="1490" t="s">
        <v>586</v>
      </c>
    </row>
    <row r="309" spans="1:5">
      <c r="A309" s="1482"/>
      <c r="B309" s="1500"/>
      <c r="C309" s="1077" t="s">
        <v>572</v>
      </c>
      <c r="D309" s="1077">
        <v>1</v>
      </c>
      <c r="E309" s="1499"/>
    </row>
    <row r="310" spans="1:5">
      <c r="A310" s="1482"/>
      <c r="B310" s="1082" t="s">
        <v>584</v>
      </c>
      <c r="C310" s="1077" t="s">
        <v>524</v>
      </c>
      <c r="D310" s="1077">
        <v>0.64</v>
      </c>
      <c r="E310" s="1490" t="s">
        <v>587</v>
      </c>
    </row>
    <row r="311" spans="1:5">
      <c r="A311" s="1482"/>
      <c r="B311" s="1082" t="s">
        <v>585</v>
      </c>
      <c r="C311" s="1077" t="s">
        <v>524</v>
      </c>
      <c r="D311" s="1077">
        <v>0.8</v>
      </c>
      <c r="E311" s="1499"/>
    </row>
    <row r="313" spans="1:5">
      <c r="A313" s="246" t="s">
        <v>618</v>
      </c>
    </row>
    <row r="314" spans="1:5">
      <c r="A314" s="1510" t="s">
        <v>208</v>
      </c>
      <c r="B314" s="1510"/>
      <c r="C314" s="1077">
        <v>1.3</v>
      </c>
    </row>
    <row r="316" spans="1:5">
      <c r="A316" s="144" t="s">
        <v>149</v>
      </c>
      <c r="B316" s="144" t="s">
        <v>185</v>
      </c>
    </row>
    <row r="317" spans="1:5">
      <c r="C317" s="172" t="s">
        <v>183</v>
      </c>
      <c r="D317" s="172" t="s">
        <v>184</v>
      </c>
    </row>
    <row r="318" spans="1:5">
      <c r="B318" s="144" t="s">
        <v>667</v>
      </c>
      <c r="C318" s="172" t="s">
        <v>182</v>
      </c>
      <c r="D318" s="172" t="s">
        <v>182</v>
      </c>
    </row>
    <row r="319" spans="1:5">
      <c r="A319" s="1482" t="s">
        <v>174</v>
      </c>
      <c r="B319" s="257" t="s">
        <v>176</v>
      </c>
      <c r="C319" s="1501">
        <v>0.78</v>
      </c>
      <c r="D319" s="224">
        <v>1</v>
      </c>
    </row>
    <row r="320" spans="1:5">
      <c r="A320" s="1482"/>
      <c r="B320" s="257" t="s">
        <v>177</v>
      </c>
      <c r="C320" s="1502"/>
      <c r="D320" s="224">
        <v>0.6</v>
      </c>
    </row>
    <row r="321" spans="1:4">
      <c r="A321" s="1482"/>
      <c r="B321" s="257" t="s">
        <v>178</v>
      </c>
      <c r="C321" s="1503"/>
      <c r="D321" s="224">
        <v>0.52</v>
      </c>
    </row>
    <row r="322" spans="1:4">
      <c r="A322" s="1500" t="s">
        <v>175</v>
      </c>
      <c r="B322" s="257" t="s">
        <v>179</v>
      </c>
      <c r="C322" s="1501">
        <v>0.27</v>
      </c>
      <c r="D322" s="224">
        <v>0.28000000000000003</v>
      </c>
    </row>
    <row r="323" spans="1:4">
      <c r="A323" s="1500"/>
      <c r="B323" s="257" t="s">
        <v>180</v>
      </c>
      <c r="C323" s="1502"/>
      <c r="D323" s="224">
        <v>0.25</v>
      </c>
    </row>
    <row r="324" spans="1:4">
      <c r="A324" s="1500"/>
      <c r="B324" s="257" t="s">
        <v>181</v>
      </c>
      <c r="C324" s="1503"/>
      <c r="D324" s="224">
        <v>0.31</v>
      </c>
    </row>
    <row r="325" spans="1:4">
      <c r="A325" s="1484" t="s">
        <v>133</v>
      </c>
      <c r="B325" s="1485"/>
      <c r="C325" s="224">
        <v>0</v>
      </c>
      <c r="D325" s="224">
        <v>0</v>
      </c>
    </row>
    <row r="328" spans="1:4">
      <c r="A328" s="144" t="s">
        <v>192</v>
      </c>
    </row>
    <row r="329" spans="1:4">
      <c r="A329" s="144" t="s">
        <v>193</v>
      </c>
      <c r="C329" s="172" t="s">
        <v>183</v>
      </c>
      <c r="D329" s="172" t="s">
        <v>184</v>
      </c>
    </row>
    <row r="330" spans="1:4">
      <c r="B330" s="238" t="s">
        <v>187</v>
      </c>
      <c r="C330" s="172" t="s">
        <v>186</v>
      </c>
      <c r="D330" s="172" t="s">
        <v>186</v>
      </c>
    </row>
    <row r="331" spans="1:4" ht="31.5">
      <c r="B331" s="238" t="s">
        <v>190</v>
      </c>
      <c r="C331" s="1501">
        <v>1.22</v>
      </c>
      <c r="D331" s="1077">
        <v>1</v>
      </c>
    </row>
    <row r="332" spans="1:4" ht="31.5">
      <c r="B332" s="238" t="s">
        <v>191</v>
      </c>
      <c r="C332" s="1502"/>
      <c r="D332" s="1077">
        <v>0.68</v>
      </c>
    </row>
    <row r="333" spans="1:4">
      <c r="B333" s="238" t="s">
        <v>188</v>
      </c>
      <c r="C333" s="1503"/>
      <c r="D333" s="1077">
        <v>1.9</v>
      </c>
    </row>
    <row r="335" spans="1:4">
      <c r="B335" s="144" t="s">
        <v>189</v>
      </c>
    </row>
    <row r="337" spans="1:36">
      <c r="A337" s="144" t="s">
        <v>194</v>
      </c>
    </row>
    <row r="338" spans="1:36">
      <c r="A338" s="144" t="s">
        <v>195</v>
      </c>
    </row>
    <row r="340" spans="1:36">
      <c r="B340" s="172" t="s">
        <v>202</v>
      </c>
      <c r="C340" s="258" t="s">
        <v>196</v>
      </c>
    </row>
    <row r="341" spans="1:36" ht="31.5">
      <c r="B341" s="238" t="s">
        <v>197</v>
      </c>
      <c r="C341" s="1077">
        <v>1</v>
      </c>
    </row>
    <row r="342" spans="1:36" ht="31.5">
      <c r="B342" s="238" t="s">
        <v>198</v>
      </c>
      <c r="C342" s="1077">
        <v>0.28999999999999998</v>
      </c>
    </row>
    <row r="343" spans="1:36">
      <c r="B343" s="238" t="s">
        <v>199</v>
      </c>
      <c r="C343" s="1077">
        <v>0.05</v>
      </c>
    </row>
    <row r="344" spans="1:36">
      <c r="B344" s="238" t="s">
        <v>200</v>
      </c>
      <c r="C344" s="1077">
        <v>0.14000000000000001</v>
      </c>
    </row>
    <row r="345" spans="1:36">
      <c r="B345" s="172" t="s">
        <v>201</v>
      </c>
      <c r="C345" s="1077">
        <v>0.5</v>
      </c>
    </row>
    <row r="346" spans="1:36">
      <c r="B346" s="238" t="s">
        <v>204</v>
      </c>
      <c r="C346" s="1077">
        <v>0</v>
      </c>
    </row>
    <row r="348" spans="1:36">
      <c r="A348" s="1548" t="s">
        <v>787</v>
      </c>
      <c r="B348" s="288" t="s">
        <v>886</v>
      </c>
      <c r="C348" s="289">
        <v>1</v>
      </c>
      <c r="D348" s="286"/>
    </row>
    <row r="349" spans="1:36" s="11" customFormat="1">
      <c r="A349" s="1549"/>
      <c r="B349" s="288" t="s">
        <v>887</v>
      </c>
      <c r="C349" s="288">
        <v>0.03</v>
      </c>
      <c r="D349" s="286"/>
      <c r="E349" s="144"/>
      <c r="F349" s="144"/>
      <c r="G349" s="144"/>
      <c r="H349" s="144"/>
      <c r="I349" s="144"/>
      <c r="N349" s="263"/>
      <c r="AA349" s="264"/>
      <c r="AJ349" s="265"/>
    </row>
    <row r="350" spans="1:36" s="11" customFormat="1">
      <c r="A350" s="1550"/>
      <c r="B350" s="290" t="s">
        <v>827</v>
      </c>
      <c r="C350" s="290">
        <v>0.7</v>
      </c>
      <c r="D350" s="286"/>
      <c r="E350" s="144"/>
      <c r="F350" s="144"/>
      <c r="G350" s="144"/>
      <c r="H350" s="144"/>
      <c r="I350" s="144"/>
      <c r="N350" s="263"/>
      <c r="AA350" s="264"/>
      <c r="AJ350" s="265"/>
    </row>
    <row r="351" spans="1:36">
      <c r="A351" s="286"/>
      <c r="B351" s="286"/>
      <c r="C351" s="286"/>
      <c r="D351" s="286"/>
    </row>
  </sheetData>
  <sortState ref="B243:U312">
    <sortCondition ref="B243:B312"/>
  </sortState>
  <mergeCells count="74">
    <mergeCell ref="A348:A350"/>
    <mergeCell ref="A251:E251"/>
    <mergeCell ref="B253:B257"/>
    <mergeCell ref="C255:C256"/>
    <mergeCell ref="C260:C261"/>
    <mergeCell ref="B260:B262"/>
    <mergeCell ref="A253:A262"/>
    <mergeCell ref="B274:B278"/>
    <mergeCell ref="B280:B282"/>
    <mergeCell ref="C269:C270"/>
    <mergeCell ref="C271:C272"/>
    <mergeCell ref="B269:B273"/>
    <mergeCell ref="A300:A301"/>
    <mergeCell ref="C280:C281"/>
    <mergeCell ref="C283:C284"/>
    <mergeCell ref="A263:A273"/>
    <mergeCell ref="I105:L105"/>
    <mergeCell ref="AC159:AE159"/>
    <mergeCell ref="AC160:AE160"/>
    <mergeCell ref="G297:H299"/>
    <mergeCell ref="G300:H301"/>
    <mergeCell ref="G290:H290"/>
    <mergeCell ref="G293:H295"/>
    <mergeCell ref="AC161:AE161"/>
    <mergeCell ref="G292:H292"/>
    <mergeCell ref="G291:H291"/>
    <mergeCell ref="G296:H296"/>
    <mergeCell ref="J103:L103"/>
    <mergeCell ref="I86:I89"/>
    <mergeCell ref="J86:J89"/>
    <mergeCell ref="I90:I93"/>
    <mergeCell ref="J90:J93"/>
    <mergeCell ref="I94:I97"/>
    <mergeCell ref="B156:F156"/>
    <mergeCell ref="B155:AE155"/>
    <mergeCell ref="G156:AB156"/>
    <mergeCell ref="AC156:AE156"/>
    <mergeCell ref="AC158:AE158"/>
    <mergeCell ref="C331:C333"/>
    <mergeCell ref="A314:B314"/>
    <mergeCell ref="A319:A321"/>
    <mergeCell ref="A322:A324"/>
    <mergeCell ref="A325:B325"/>
    <mergeCell ref="C319:C321"/>
    <mergeCell ref="C322:C324"/>
    <mergeCell ref="E308:E309"/>
    <mergeCell ref="A308:A311"/>
    <mergeCell ref="B308:B309"/>
    <mergeCell ref="B293:B295"/>
    <mergeCell ref="C264:C265"/>
    <mergeCell ref="A274:A285"/>
    <mergeCell ref="B283:B285"/>
    <mergeCell ref="A289:F289"/>
    <mergeCell ref="C274:C275"/>
    <mergeCell ref="C276:C277"/>
    <mergeCell ref="B264:B268"/>
    <mergeCell ref="C266:C267"/>
    <mergeCell ref="E310:E311"/>
    <mergeCell ref="A59:A61"/>
    <mergeCell ref="J94:J97"/>
    <mergeCell ref="L85:P85"/>
    <mergeCell ref="A306:E306"/>
    <mergeCell ref="B297:B299"/>
    <mergeCell ref="A292:A299"/>
    <mergeCell ref="B159:F159"/>
    <mergeCell ref="B161:F161"/>
    <mergeCell ref="B160:F160"/>
    <mergeCell ref="A224:A226"/>
    <mergeCell ref="A163:A165"/>
    <mergeCell ref="B59:B61"/>
    <mergeCell ref="A130:A137"/>
    <mergeCell ref="A138:A140"/>
    <mergeCell ref="B158:F158"/>
    <mergeCell ref="A155:A157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G63"/>
  <sheetViews>
    <sheetView zoomScale="90" zoomScaleNormal="90" workbookViewId="0">
      <selection activeCell="I46" sqref="I46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6" max="6" width="9" customWidth="1"/>
    <col min="7" max="7" width="17.625" customWidth="1"/>
    <col min="8" max="8" width="21.75" customWidth="1"/>
  </cols>
  <sheetData>
    <row r="2" spans="1:6">
      <c r="A2" s="688" t="s">
        <v>619</v>
      </c>
    </row>
    <row r="3" spans="1:6">
      <c r="B3" t="s">
        <v>543</v>
      </c>
      <c r="C3" t="s">
        <v>551</v>
      </c>
    </row>
    <row r="4" spans="1:6" ht="16.5" thickBot="1">
      <c r="A4" s="1562" t="s">
        <v>516</v>
      </c>
      <c r="B4" s="1563"/>
      <c r="C4" s="1563"/>
      <c r="D4" s="1563"/>
      <c r="E4" s="1564"/>
    </row>
    <row r="5" spans="1:6" ht="32.25" thickBot="1">
      <c r="A5" s="86" t="s">
        <v>517</v>
      </c>
      <c r="B5" s="86" t="s">
        <v>518</v>
      </c>
      <c r="C5" s="86" t="s">
        <v>521</v>
      </c>
      <c r="D5" s="86" t="s">
        <v>519</v>
      </c>
      <c r="F5" s="1412" t="s">
        <v>520</v>
      </c>
    </row>
    <row r="6" spans="1:6">
      <c r="A6" s="1565" t="s">
        <v>545</v>
      </c>
      <c r="B6" s="1451" t="s">
        <v>543</v>
      </c>
      <c r="C6" s="1094" t="s">
        <v>523</v>
      </c>
      <c r="D6" s="1094" t="s">
        <v>526</v>
      </c>
      <c r="E6" s="1411" t="s">
        <v>703</v>
      </c>
      <c r="F6" s="509">
        <v>0.8</v>
      </c>
    </row>
    <row r="7" spans="1:6">
      <c r="A7" s="1566"/>
      <c r="B7" s="1452"/>
      <c r="C7" s="1089"/>
      <c r="D7" s="1089" t="s">
        <v>527</v>
      </c>
      <c r="E7" s="989" t="s">
        <v>704</v>
      </c>
      <c r="F7" s="1413">
        <v>0.69</v>
      </c>
    </row>
    <row r="8" spans="1:6">
      <c r="A8" s="1566"/>
      <c r="B8" s="1452"/>
      <c r="C8" s="1568" t="s">
        <v>524</v>
      </c>
      <c r="D8" s="1089" t="s">
        <v>526</v>
      </c>
      <c r="E8" s="989" t="s">
        <v>705</v>
      </c>
      <c r="F8" s="1413">
        <v>0.57999999999999996</v>
      </c>
    </row>
    <row r="9" spans="1:6">
      <c r="A9" s="1566"/>
      <c r="B9" s="1452"/>
      <c r="C9" s="1569"/>
      <c r="D9" s="1089" t="s">
        <v>528</v>
      </c>
      <c r="E9" s="989" t="s">
        <v>706</v>
      </c>
      <c r="F9" s="1413">
        <v>0.48</v>
      </c>
    </row>
    <row r="10" spans="1:6">
      <c r="A10" s="1566"/>
      <c r="B10" s="1567"/>
      <c r="C10" s="1089" t="s">
        <v>525</v>
      </c>
      <c r="D10" s="1089" t="s">
        <v>529</v>
      </c>
      <c r="E10" s="989" t="s">
        <v>707</v>
      </c>
      <c r="F10" s="1413">
        <v>0.64</v>
      </c>
    </row>
    <row r="11" spans="1:6">
      <c r="A11" s="1566"/>
      <c r="B11" s="771" t="s">
        <v>530</v>
      </c>
      <c r="C11" s="1092" t="s">
        <v>531</v>
      </c>
      <c r="D11" s="1089" t="s">
        <v>532</v>
      </c>
      <c r="E11" s="689" t="s">
        <v>530</v>
      </c>
      <c r="F11" s="1414">
        <v>1.1000000000000001</v>
      </c>
    </row>
    <row r="12" spans="1:6" ht="31.5">
      <c r="A12" s="1566"/>
      <c r="B12" s="739" t="s">
        <v>1735</v>
      </c>
      <c r="C12" s="1089" t="s">
        <v>531</v>
      </c>
      <c r="D12" s="1089" t="s">
        <v>532</v>
      </c>
      <c r="E12" s="689" t="s">
        <v>1383</v>
      </c>
      <c r="F12" s="1413">
        <v>1</v>
      </c>
    </row>
    <row r="13" spans="1:6">
      <c r="A13" s="1566"/>
      <c r="B13" s="1570" t="s">
        <v>534</v>
      </c>
      <c r="C13" s="1559" t="s">
        <v>536</v>
      </c>
      <c r="D13" s="1089" t="s">
        <v>526</v>
      </c>
      <c r="E13" s="989" t="s">
        <v>709</v>
      </c>
      <c r="F13" s="1413">
        <v>0.93</v>
      </c>
    </row>
    <row r="14" spans="1:6">
      <c r="A14" s="1566"/>
      <c r="B14" s="1452"/>
      <c r="C14" s="1559"/>
      <c r="D14" s="1089" t="s">
        <v>535</v>
      </c>
      <c r="E14" s="989" t="s">
        <v>710</v>
      </c>
      <c r="F14" s="1413">
        <v>0.82</v>
      </c>
    </row>
    <row r="15" spans="1:6" ht="16.5" thickBot="1">
      <c r="A15" s="1566"/>
      <c r="B15" s="1453"/>
      <c r="C15" s="1093" t="s">
        <v>537</v>
      </c>
      <c r="D15" s="1093" t="s">
        <v>529</v>
      </c>
      <c r="E15" s="677" t="s">
        <v>711</v>
      </c>
      <c r="F15" s="1415">
        <v>0.88</v>
      </c>
    </row>
    <row r="16" spans="1:6">
      <c r="A16" s="1556" t="s">
        <v>538</v>
      </c>
      <c r="B16" s="1091" t="s">
        <v>539</v>
      </c>
      <c r="C16" s="1094" t="s">
        <v>531</v>
      </c>
      <c r="D16" s="1094" t="s">
        <v>532</v>
      </c>
      <c r="E16" s="694" t="s">
        <v>539</v>
      </c>
      <c r="F16" s="1416">
        <v>1</v>
      </c>
    </row>
    <row r="17" spans="1:6">
      <c r="A17" s="1557"/>
      <c r="B17" s="1559" t="s">
        <v>540</v>
      </c>
      <c r="C17" s="1560" t="s">
        <v>541</v>
      </c>
      <c r="D17" s="1090" t="s">
        <v>526</v>
      </c>
      <c r="E17" s="989" t="s">
        <v>712</v>
      </c>
      <c r="F17" s="1414">
        <v>1.02</v>
      </c>
    </row>
    <row r="18" spans="1:6">
      <c r="A18" s="1557"/>
      <c r="B18" s="1559"/>
      <c r="C18" s="1560"/>
      <c r="D18" s="1090" t="s">
        <v>527</v>
      </c>
      <c r="E18" s="989" t="s">
        <v>713</v>
      </c>
      <c r="F18" s="1414">
        <v>1.08</v>
      </c>
    </row>
    <row r="19" spans="1:6">
      <c r="A19" s="1557"/>
      <c r="B19" s="1559"/>
      <c r="C19" s="1559" t="s">
        <v>542</v>
      </c>
      <c r="D19" s="1090" t="s">
        <v>526</v>
      </c>
      <c r="E19" s="989" t="s">
        <v>714</v>
      </c>
      <c r="F19" s="1414">
        <v>1.0900000000000001</v>
      </c>
    </row>
    <row r="20" spans="1:6">
      <c r="A20" s="1557"/>
      <c r="B20" s="1559"/>
      <c r="C20" s="1559"/>
      <c r="D20" s="1090" t="s">
        <v>528</v>
      </c>
      <c r="E20" s="989" t="s">
        <v>715</v>
      </c>
      <c r="F20" s="1414">
        <v>1.1499999999999999</v>
      </c>
    </row>
    <row r="21" spans="1:6">
      <c r="A21" s="1557"/>
      <c r="B21" s="1559"/>
      <c r="C21" s="1089" t="s">
        <v>525</v>
      </c>
      <c r="D21" s="1090" t="s">
        <v>529</v>
      </c>
      <c r="E21" s="989" t="s">
        <v>716</v>
      </c>
      <c r="F21" s="1414">
        <v>1.0900000000000001</v>
      </c>
    </row>
    <row r="22" spans="1:6">
      <c r="A22" s="1557"/>
      <c r="B22" s="1559" t="s">
        <v>544</v>
      </c>
      <c r="C22" s="1560" t="s">
        <v>541</v>
      </c>
      <c r="D22" s="1090" t="s">
        <v>526</v>
      </c>
      <c r="E22" s="989" t="s">
        <v>717</v>
      </c>
      <c r="F22" s="1414">
        <v>1.1000000000000001</v>
      </c>
    </row>
    <row r="23" spans="1:6">
      <c r="A23" s="1557"/>
      <c r="B23" s="1559"/>
      <c r="C23" s="1560"/>
      <c r="D23" s="1090" t="s">
        <v>527</v>
      </c>
      <c r="E23" s="989" t="s">
        <v>718</v>
      </c>
      <c r="F23" s="1414">
        <v>1.1499999999999999</v>
      </c>
    </row>
    <row r="24" spans="1:6">
      <c r="A24" s="1557"/>
      <c r="B24" s="1559"/>
      <c r="C24" s="1559" t="s">
        <v>542</v>
      </c>
      <c r="D24" s="1090" t="s">
        <v>526</v>
      </c>
      <c r="E24" s="989" t="s">
        <v>719</v>
      </c>
      <c r="F24" s="1414">
        <v>1.17</v>
      </c>
    </row>
    <row r="25" spans="1:6">
      <c r="A25" s="1557"/>
      <c r="B25" s="1559"/>
      <c r="C25" s="1559"/>
      <c r="D25" s="1090" t="s">
        <v>528</v>
      </c>
      <c r="E25" s="989" t="s">
        <v>720</v>
      </c>
      <c r="F25" s="1414">
        <v>1.22</v>
      </c>
    </row>
    <row r="26" spans="1:6" ht="16.5" thickBot="1">
      <c r="A26" s="1558"/>
      <c r="B26" s="1561"/>
      <c r="C26" s="1093" t="s">
        <v>525</v>
      </c>
      <c r="D26" s="549" t="s">
        <v>529</v>
      </c>
      <c r="E26" s="677" t="s">
        <v>721</v>
      </c>
      <c r="F26" s="1417">
        <v>1.1599999999999999</v>
      </c>
    </row>
    <row r="27" spans="1:6">
      <c r="A27" s="1556" t="s">
        <v>546</v>
      </c>
      <c r="B27" s="1571" t="s">
        <v>547</v>
      </c>
      <c r="C27" s="1573" t="s">
        <v>541</v>
      </c>
      <c r="D27" s="514" t="s">
        <v>526</v>
      </c>
      <c r="E27" s="694" t="s">
        <v>722</v>
      </c>
      <c r="F27" s="1416">
        <v>0.95</v>
      </c>
    </row>
    <row r="28" spans="1:6">
      <c r="A28" s="1557"/>
      <c r="B28" s="1572"/>
      <c r="C28" s="1574"/>
      <c r="D28" s="1090" t="s">
        <v>527</v>
      </c>
      <c r="E28" s="989" t="s">
        <v>723</v>
      </c>
      <c r="F28" s="1414">
        <v>0.92</v>
      </c>
    </row>
    <row r="29" spans="1:6">
      <c r="A29" s="1557"/>
      <c r="B29" s="1572"/>
      <c r="C29" s="1559" t="s">
        <v>542</v>
      </c>
      <c r="D29" s="1090" t="s">
        <v>526</v>
      </c>
      <c r="E29" s="989" t="s">
        <v>724</v>
      </c>
      <c r="F29" s="1414">
        <v>0.95</v>
      </c>
    </row>
    <row r="30" spans="1:6">
      <c r="A30" s="1557"/>
      <c r="B30" s="1572"/>
      <c r="C30" s="1559"/>
      <c r="D30" s="1090" t="s">
        <v>528</v>
      </c>
      <c r="E30" s="989" t="s">
        <v>725</v>
      </c>
      <c r="F30" s="1414">
        <v>0.92</v>
      </c>
    </row>
    <row r="31" spans="1:6">
      <c r="A31" s="1557"/>
      <c r="B31" s="1572"/>
      <c r="C31" s="1089" t="s">
        <v>525</v>
      </c>
      <c r="D31" s="1090" t="s">
        <v>529</v>
      </c>
      <c r="E31" s="989" t="s">
        <v>726</v>
      </c>
      <c r="F31" s="1414">
        <v>0.94</v>
      </c>
    </row>
    <row r="32" spans="1:6">
      <c r="A32" s="1557"/>
      <c r="B32" s="1089" t="s">
        <v>548</v>
      </c>
      <c r="C32" s="1092" t="s">
        <v>531</v>
      </c>
      <c r="D32" s="1089" t="s">
        <v>532</v>
      </c>
      <c r="E32" s="989" t="s">
        <v>727</v>
      </c>
      <c r="F32" s="1414">
        <v>1</v>
      </c>
    </row>
    <row r="33" spans="1:7">
      <c r="A33" s="1557"/>
      <c r="B33" s="1559" t="s">
        <v>549</v>
      </c>
      <c r="C33" s="1559" t="s">
        <v>536</v>
      </c>
      <c r="D33" s="1089" t="s">
        <v>526</v>
      </c>
      <c r="E33" s="989" t="s">
        <v>728</v>
      </c>
      <c r="F33" s="1414">
        <v>1.04</v>
      </c>
    </row>
    <row r="34" spans="1:7">
      <c r="A34" s="1557"/>
      <c r="B34" s="1559"/>
      <c r="C34" s="1559"/>
      <c r="D34" s="1089" t="s">
        <v>535</v>
      </c>
      <c r="E34" s="989" t="s">
        <v>729</v>
      </c>
      <c r="F34" s="1414">
        <v>1.1100000000000001</v>
      </c>
    </row>
    <row r="35" spans="1:7">
      <c r="A35" s="1557"/>
      <c r="B35" s="1559"/>
      <c r="C35" s="691" t="s">
        <v>537</v>
      </c>
      <c r="D35" s="1088" t="s">
        <v>529</v>
      </c>
      <c r="E35" s="989" t="s">
        <v>730</v>
      </c>
      <c r="F35" s="1414">
        <v>1.08</v>
      </c>
    </row>
    <row r="36" spans="1:7">
      <c r="A36" s="1557"/>
      <c r="B36" s="1559" t="s">
        <v>550</v>
      </c>
      <c r="C36" s="1564" t="s">
        <v>536</v>
      </c>
      <c r="D36" s="1089" t="s">
        <v>526</v>
      </c>
      <c r="E36" s="989" t="s">
        <v>732</v>
      </c>
      <c r="F36" s="1414">
        <v>1.37</v>
      </c>
    </row>
    <row r="37" spans="1:7">
      <c r="A37" s="1557"/>
      <c r="B37" s="1559"/>
      <c r="C37" s="1564"/>
      <c r="D37" s="1089" t="s">
        <v>535</v>
      </c>
      <c r="E37" s="989" t="s">
        <v>731</v>
      </c>
      <c r="F37" s="1414">
        <v>1.44</v>
      </c>
    </row>
    <row r="38" spans="1:7" ht="16.5" thickBot="1">
      <c r="A38" s="1558"/>
      <c r="B38" s="1561"/>
      <c r="C38" s="692" t="s">
        <v>537</v>
      </c>
      <c r="D38" s="1093" t="s">
        <v>529</v>
      </c>
      <c r="E38" s="677" t="s">
        <v>733</v>
      </c>
      <c r="F38" s="1417">
        <v>1.41</v>
      </c>
    </row>
    <row r="40" spans="1:7" ht="16.5" thickBot="1">
      <c r="B40" t="s">
        <v>552</v>
      </c>
      <c r="C40" t="s">
        <v>553</v>
      </c>
      <c r="F40" s="989"/>
    </row>
    <row r="41" spans="1:7" ht="15.75" customHeight="1" thickBot="1">
      <c r="A41" s="1418" t="s">
        <v>555</v>
      </c>
      <c r="B41" s="1419"/>
      <c r="C41" s="1419"/>
      <c r="D41" s="1419"/>
      <c r="E41" s="1420"/>
      <c r="F41" s="1424"/>
    </row>
    <row r="42" spans="1:7" ht="16.5" thickBot="1">
      <c r="A42" s="771" t="s">
        <v>557</v>
      </c>
      <c r="B42" s="1092" t="s">
        <v>558</v>
      </c>
      <c r="C42" s="1092" t="s">
        <v>559</v>
      </c>
      <c r="D42" s="13"/>
      <c r="E42" s="690" t="s">
        <v>560</v>
      </c>
      <c r="F42" s="1575" t="s">
        <v>570</v>
      </c>
      <c r="G42" s="1576"/>
    </row>
    <row r="43" spans="1:7" ht="16.5" customHeight="1" thickBot="1">
      <c r="A43" s="1421" t="s">
        <v>556</v>
      </c>
      <c r="B43" s="1092" t="s">
        <v>531</v>
      </c>
      <c r="C43" s="1092" t="s">
        <v>531</v>
      </c>
      <c r="D43" s="13"/>
      <c r="E43" s="1422">
        <v>1</v>
      </c>
      <c r="F43" s="1577" t="s">
        <v>1384</v>
      </c>
      <c r="G43" s="1578"/>
    </row>
    <row r="44" spans="1:7" ht="31.5" customHeight="1">
      <c r="A44" s="1423" t="s">
        <v>566</v>
      </c>
      <c r="B44" s="1089" t="s">
        <v>567</v>
      </c>
      <c r="C44" s="1092" t="s">
        <v>531</v>
      </c>
      <c r="D44" s="13" t="s">
        <v>735</v>
      </c>
      <c r="E44" s="1422">
        <v>1</v>
      </c>
      <c r="F44" s="1586" t="s">
        <v>563</v>
      </c>
      <c r="G44" s="1587"/>
    </row>
    <row r="45" spans="1:7" ht="15.75" customHeight="1">
      <c r="A45" s="1423"/>
      <c r="B45" s="20" t="s">
        <v>564</v>
      </c>
      <c r="C45" s="1090" t="s">
        <v>541</v>
      </c>
      <c r="D45" s="13" t="s">
        <v>736</v>
      </c>
      <c r="E45" s="1422">
        <v>0.95</v>
      </c>
      <c r="F45" s="1579" t="s">
        <v>568</v>
      </c>
      <c r="G45" s="1580"/>
    </row>
    <row r="46" spans="1:7">
      <c r="A46" s="1423"/>
      <c r="B46" s="20"/>
      <c r="C46" s="1089" t="s">
        <v>542</v>
      </c>
      <c r="D46" s="13" t="s">
        <v>738</v>
      </c>
      <c r="E46" s="1422">
        <v>0.97</v>
      </c>
      <c r="F46" s="1581"/>
      <c r="G46" s="1582"/>
    </row>
    <row r="47" spans="1:7">
      <c r="A47" s="1423"/>
      <c r="B47" s="20"/>
      <c r="C47" s="1089" t="s">
        <v>525</v>
      </c>
      <c r="D47" s="13" t="s">
        <v>737</v>
      </c>
      <c r="E47" s="1422">
        <v>0.96</v>
      </c>
      <c r="F47" s="1583"/>
      <c r="G47" s="1584"/>
    </row>
    <row r="48" spans="1:7" ht="15.75" customHeight="1">
      <c r="A48" s="1423"/>
      <c r="B48" s="1089" t="s">
        <v>565</v>
      </c>
      <c r="C48" s="1092" t="s">
        <v>531</v>
      </c>
      <c r="D48" s="13" t="s">
        <v>739</v>
      </c>
      <c r="E48" s="1422">
        <v>0.7</v>
      </c>
      <c r="F48" s="1562" t="s">
        <v>569</v>
      </c>
      <c r="G48" s="1585"/>
    </row>
    <row r="49" spans="1:7" ht="15.75" customHeight="1">
      <c r="A49" s="1423"/>
      <c r="B49" s="20" t="s">
        <v>571</v>
      </c>
      <c r="C49" s="1092" t="s">
        <v>541</v>
      </c>
      <c r="D49" s="13" t="s">
        <v>740</v>
      </c>
      <c r="E49" s="690">
        <v>1.1399999999999999</v>
      </c>
      <c r="F49" s="1579" t="s">
        <v>573</v>
      </c>
      <c r="G49" s="1580"/>
    </row>
    <row r="50" spans="1:7">
      <c r="A50" s="1423"/>
      <c r="B50" s="20"/>
      <c r="C50" s="1092" t="s">
        <v>572</v>
      </c>
      <c r="D50" s="13" t="s">
        <v>741</v>
      </c>
      <c r="E50" s="690">
        <v>1.17</v>
      </c>
      <c r="F50" s="1581"/>
      <c r="G50" s="1582"/>
    </row>
    <row r="51" spans="1:7" ht="16.5" thickBot="1">
      <c r="A51" s="1423"/>
      <c r="B51" s="20"/>
      <c r="C51" s="1092" t="s">
        <v>537</v>
      </c>
      <c r="D51" s="13" t="s">
        <v>743</v>
      </c>
      <c r="E51" s="690">
        <v>1.1599999999999999</v>
      </c>
      <c r="F51" s="1588"/>
      <c r="G51" s="1589"/>
    </row>
    <row r="52" spans="1:7" ht="15.75" customHeight="1">
      <c r="A52" s="1423" t="s">
        <v>574</v>
      </c>
      <c r="B52" s="1092" t="s">
        <v>548</v>
      </c>
      <c r="C52" s="1092" t="s">
        <v>531</v>
      </c>
      <c r="D52" s="13" t="s">
        <v>742</v>
      </c>
      <c r="E52" s="690">
        <v>1</v>
      </c>
      <c r="F52" s="1590" t="s">
        <v>734</v>
      </c>
      <c r="G52" s="1591"/>
    </row>
    <row r="53" spans="1:7" ht="16.5" thickBot="1">
      <c r="A53" s="1423"/>
      <c r="B53" s="1092" t="s">
        <v>575</v>
      </c>
      <c r="C53" s="1092" t="s">
        <v>531</v>
      </c>
      <c r="D53" s="13" t="s">
        <v>575</v>
      </c>
      <c r="E53" s="690">
        <v>1.1100000000000001</v>
      </c>
      <c r="F53" s="1588"/>
      <c r="G53" s="1589"/>
    </row>
    <row r="54" spans="1:7" ht="16.5" thickBot="1">
      <c r="A54" s="598"/>
      <c r="B54" s="978"/>
      <c r="C54" s="978"/>
      <c r="D54" s="978" t="s">
        <v>744</v>
      </c>
      <c r="E54" s="693">
        <v>1</v>
      </c>
    </row>
    <row r="56" spans="1:7">
      <c r="A56" s="37" t="s">
        <v>619</v>
      </c>
    </row>
    <row r="57" spans="1:7">
      <c r="B57" t="s">
        <v>577</v>
      </c>
    </row>
    <row r="58" spans="1:7">
      <c r="A58" s="1562" t="s">
        <v>578</v>
      </c>
      <c r="B58" s="1563"/>
      <c r="C58" s="1563"/>
      <c r="D58" s="1563"/>
      <c r="E58" s="1564"/>
    </row>
    <row r="59" spans="1:7">
      <c r="A59" s="27" t="s">
        <v>588</v>
      </c>
      <c r="B59" s="24" t="s">
        <v>558</v>
      </c>
      <c r="C59" s="27" t="s">
        <v>579</v>
      </c>
      <c r="D59" s="27" t="s">
        <v>580</v>
      </c>
      <c r="E59" s="27" t="s">
        <v>581</v>
      </c>
    </row>
    <row r="60" spans="1:7">
      <c r="A60" s="1572" t="s">
        <v>582</v>
      </c>
      <c r="B60" s="1559" t="s">
        <v>583</v>
      </c>
      <c r="C60" s="27" t="s">
        <v>561</v>
      </c>
      <c r="D60" s="27">
        <v>1</v>
      </c>
      <c r="E60" s="1568" t="s">
        <v>586</v>
      </c>
    </row>
    <row r="61" spans="1:7">
      <c r="A61" s="1572"/>
      <c r="B61" s="1559"/>
      <c r="C61" s="27" t="s">
        <v>572</v>
      </c>
      <c r="D61" s="27">
        <v>1</v>
      </c>
      <c r="E61" s="1569"/>
    </row>
    <row r="62" spans="1:7" ht="31.5">
      <c r="A62" s="1572"/>
      <c r="B62" s="24" t="s">
        <v>584</v>
      </c>
      <c r="C62" s="27" t="s">
        <v>524</v>
      </c>
      <c r="D62" s="27">
        <v>0.64</v>
      </c>
      <c r="E62" s="1568" t="s">
        <v>587</v>
      </c>
    </row>
    <row r="63" spans="1:7" ht="31.5">
      <c r="A63" s="1572"/>
      <c r="B63" s="24" t="s">
        <v>585</v>
      </c>
      <c r="C63" s="27" t="s">
        <v>524</v>
      </c>
      <c r="D63" s="27">
        <v>0.8</v>
      </c>
      <c r="E63" s="1569"/>
    </row>
  </sheetData>
  <mergeCells count="33">
    <mergeCell ref="A60:A63"/>
    <mergeCell ref="B60:B61"/>
    <mergeCell ref="E60:E61"/>
    <mergeCell ref="E62:E63"/>
    <mergeCell ref="F42:G42"/>
    <mergeCell ref="F43:G43"/>
    <mergeCell ref="F45:G47"/>
    <mergeCell ref="F48:G48"/>
    <mergeCell ref="A58:E58"/>
    <mergeCell ref="F44:G44"/>
    <mergeCell ref="F49:G51"/>
    <mergeCell ref="F52:G53"/>
    <mergeCell ref="A27:A38"/>
    <mergeCell ref="B27:B31"/>
    <mergeCell ref="C27:C28"/>
    <mergeCell ref="C29:C30"/>
    <mergeCell ref="B33:B35"/>
    <mergeCell ref="C33:C34"/>
    <mergeCell ref="B36:B38"/>
    <mergeCell ref="C36:C37"/>
    <mergeCell ref="A4:E4"/>
    <mergeCell ref="A6:A15"/>
    <mergeCell ref="B6:B10"/>
    <mergeCell ref="C8:C9"/>
    <mergeCell ref="B13:B15"/>
    <mergeCell ref="C13:C14"/>
    <mergeCell ref="A16:A26"/>
    <mergeCell ref="B17:B21"/>
    <mergeCell ref="C17:C18"/>
    <mergeCell ref="C19:C20"/>
    <mergeCell ref="B22:B26"/>
    <mergeCell ref="C22:C23"/>
    <mergeCell ref="C24:C2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topLeftCell="A3" zoomScale="80" zoomScaleNormal="80" workbookViewId="0">
      <selection activeCell="D44" sqref="D44"/>
    </sheetView>
  </sheetViews>
  <sheetFormatPr defaultColWidth="8.875" defaultRowHeight="15.75"/>
  <cols>
    <col min="1" max="1" width="39.875" style="1100" bestFit="1" customWidth="1"/>
    <col min="2" max="2" width="15" style="1100" customWidth="1"/>
    <col min="3" max="5" width="8.875" style="1100"/>
    <col min="6" max="6" width="32.125" style="1100" bestFit="1" customWidth="1"/>
    <col min="7" max="16384" width="8.875" style="1100"/>
  </cols>
  <sheetData>
    <row r="1" spans="1:49" s="11" customFormat="1" ht="24.75" customHeight="1">
      <c r="A1" s="266" t="s">
        <v>843</v>
      </c>
      <c r="B1" s="266"/>
      <c r="C1" s="266"/>
      <c r="D1" s="266"/>
      <c r="E1" s="266"/>
      <c r="F1" s="267"/>
      <c r="N1" s="263"/>
      <c r="R1" s="264"/>
      <c r="AA1" s="265"/>
    </row>
    <row r="2" spans="1:49" s="11" customFormat="1">
      <c r="A2" s="1597" t="s">
        <v>844</v>
      </c>
      <c r="B2" s="173" t="s">
        <v>582</v>
      </c>
      <c r="C2" s="173" t="s">
        <v>834</v>
      </c>
      <c r="D2" s="173" t="s">
        <v>842</v>
      </c>
      <c r="E2" s="173" t="s">
        <v>836</v>
      </c>
      <c r="F2" s="267" t="s">
        <v>969</v>
      </c>
      <c r="G2" s="173" t="s">
        <v>842</v>
      </c>
      <c r="N2" s="263"/>
      <c r="R2" s="264"/>
      <c r="AA2" s="265"/>
    </row>
    <row r="3" spans="1:49" s="11" customFormat="1">
      <c r="A3" s="1597"/>
      <c r="B3" s="172" t="s">
        <v>835</v>
      </c>
      <c r="C3" s="172" t="s">
        <v>833</v>
      </c>
      <c r="D3" s="172">
        <v>0.11</v>
      </c>
      <c r="E3" s="1490" t="s">
        <v>898</v>
      </c>
      <c r="F3" s="144" t="s">
        <v>970</v>
      </c>
      <c r="G3" s="144">
        <v>0.11</v>
      </c>
      <c r="H3" s="144"/>
      <c r="I3" s="144"/>
      <c r="N3" s="263"/>
      <c r="R3" s="264"/>
      <c r="AA3" s="265"/>
    </row>
    <row r="4" spans="1:49" s="11" customFormat="1">
      <c r="A4" s="1597"/>
      <c r="B4" s="172"/>
      <c r="C4" s="174" t="s">
        <v>838</v>
      </c>
      <c r="D4" s="172">
        <v>0.12</v>
      </c>
      <c r="E4" s="1491"/>
      <c r="F4" s="144" t="s">
        <v>971</v>
      </c>
      <c r="G4" s="144">
        <v>0.13</v>
      </c>
      <c r="H4" s="144"/>
      <c r="I4" s="144"/>
      <c r="N4" s="263"/>
      <c r="R4" s="264"/>
      <c r="AA4" s="265"/>
    </row>
    <row r="5" spans="1:49" s="144" customFormat="1">
      <c r="A5" s="1597"/>
      <c r="B5" s="172"/>
      <c r="C5" s="174" t="s">
        <v>839</v>
      </c>
      <c r="D5" s="172">
        <v>0.14000000000000001</v>
      </c>
      <c r="E5" s="1491"/>
      <c r="F5" s="144" t="s">
        <v>972</v>
      </c>
      <c r="G5" s="144">
        <v>0.22</v>
      </c>
      <c r="N5" s="226"/>
      <c r="R5" s="227"/>
      <c r="AA5" s="225"/>
    </row>
    <row r="6" spans="1:49" s="144" customFormat="1">
      <c r="A6" s="1597"/>
      <c r="B6" s="172"/>
      <c r="C6" s="174" t="s">
        <v>837</v>
      </c>
      <c r="D6" s="172">
        <v>0.22</v>
      </c>
      <c r="E6" s="1491"/>
      <c r="F6" s="144" t="s">
        <v>973</v>
      </c>
      <c r="G6" s="144">
        <f>(D7+D8)/2</f>
        <v>0.37</v>
      </c>
      <c r="I6" s="11"/>
      <c r="J6" s="11"/>
      <c r="K6" s="11"/>
      <c r="L6" s="11"/>
      <c r="M6" s="11"/>
      <c r="N6" s="263"/>
      <c r="O6" s="11"/>
      <c r="P6" s="11"/>
      <c r="Q6" s="11"/>
      <c r="R6" s="264"/>
      <c r="S6" s="11"/>
      <c r="T6" s="11"/>
      <c r="U6" s="11"/>
      <c r="V6" s="11"/>
      <c r="W6" s="11"/>
      <c r="X6" s="11"/>
      <c r="Y6" s="11"/>
      <c r="Z6" s="11"/>
      <c r="AA6" s="265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4" customFormat="1">
      <c r="A7" s="1597"/>
      <c r="B7" s="172"/>
      <c r="C7" s="174" t="s">
        <v>840</v>
      </c>
      <c r="D7" s="172">
        <v>0.31</v>
      </c>
      <c r="E7" s="1491"/>
      <c r="F7" s="174" t="s">
        <v>927</v>
      </c>
      <c r="G7" s="144">
        <v>1</v>
      </c>
      <c r="I7" s="11"/>
      <c r="J7" s="11"/>
      <c r="K7" s="11"/>
      <c r="L7" s="11"/>
      <c r="M7" s="11"/>
      <c r="N7" s="263"/>
      <c r="O7" s="11"/>
      <c r="P7" s="11"/>
      <c r="Q7" s="11"/>
      <c r="R7" s="264"/>
      <c r="S7" s="11"/>
      <c r="T7" s="11"/>
      <c r="U7" s="11"/>
      <c r="V7" s="11"/>
      <c r="W7" s="11"/>
      <c r="X7" s="11"/>
      <c r="Y7" s="11"/>
      <c r="Z7" s="11"/>
      <c r="AA7" s="265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4" customFormat="1">
      <c r="A8" s="1597"/>
      <c r="B8" s="172"/>
      <c r="C8" s="172" t="s">
        <v>841</v>
      </c>
      <c r="D8" s="172">
        <v>0.43</v>
      </c>
      <c r="E8" s="1491"/>
      <c r="I8" s="11"/>
      <c r="J8" s="11"/>
      <c r="K8" s="11"/>
      <c r="L8" s="11"/>
      <c r="M8" s="11"/>
      <c r="N8" s="263"/>
      <c r="O8" s="11"/>
      <c r="P8" s="11"/>
      <c r="Q8" s="11"/>
      <c r="R8" s="264"/>
      <c r="S8" s="11"/>
      <c r="T8" s="11"/>
      <c r="U8" s="11"/>
      <c r="V8" s="11"/>
      <c r="W8" s="11"/>
      <c r="X8" s="11"/>
      <c r="Y8" s="11"/>
      <c r="Z8" s="11"/>
      <c r="AA8" s="265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4" customFormat="1">
      <c r="A9" s="1597"/>
      <c r="B9" s="172" t="s">
        <v>857</v>
      </c>
      <c r="C9" s="174" t="s">
        <v>927</v>
      </c>
      <c r="D9" s="172">
        <v>1</v>
      </c>
      <c r="E9" s="1499"/>
      <c r="I9" s="11"/>
      <c r="J9" s="11"/>
      <c r="K9" s="11"/>
      <c r="L9" s="11"/>
      <c r="M9" s="11"/>
      <c r="N9" s="263"/>
      <c r="O9" s="11"/>
      <c r="P9" s="11"/>
      <c r="Q9" s="11"/>
      <c r="R9" s="264"/>
      <c r="S9" s="11"/>
      <c r="T9" s="11"/>
      <c r="U9" s="11"/>
      <c r="V9" s="11"/>
      <c r="W9" s="11"/>
      <c r="X9" s="11"/>
      <c r="Y9" s="11"/>
      <c r="Z9" s="11"/>
      <c r="AA9" s="265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4" customFormat="1">
      <c r="I10" s="11"/>
      <c r="J10" s="11"/>
      <c r="K10" s="11"/>
      <c r="L10" s="11"/>
      <c r="M10" s="11"/>
      <c r="N10" s="263"/>
      <c r="O10" s="11"/>
      <c r="P10" s="11"/>
      <c r="Q10" s="11"/>
      <c r="R10" s="264"/>
      <c r="S10" s="11"/>
      <c r="T10" s="11"/>
      <c r="U10" s="11"/>
      <c r="V10" s="11"/>
      <c r="W10" s="11"/>
      <c r="X10" s="11"/>
      <c r="Y10" s="11"/>
      <c r="Z10" s="11"/>
      <c r="AA10" s="265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4" customFormat="1">
      <c r="I11" s="11"/>
      <c r="J11" s="11"/>
      <c r="K11" s="11"/>
      <c r="L11" s="11"/>
      <c r="M11" s="11"/>
      <c r="N11" s="263"/>
      <c r="O11" s="11"/>
      <c r="P11" s="11"/>
      <c r="Q11" s="11"/>
      <c r="R11" s="264"/>
      <c r="S11" s="11"/>
      <c r="T11" s="11"/>
      <c r="U11" s="11"/>
      <c r="V11" s="11"/>
      <c r="W11" s="11"/>
      <c r="X11" s="11"/>
      <c r="Y11" s="11"/>
      <c r="Z11" s="11"/>
      <c r="AA11" s="265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4" customFormat="1">
      <c r="A12" s="1597" t="s">
        <v>856</v>
      </c>
      <c r="B12" s="173" t="s">
        <v>850</v>
      </c>
      <c r="C12" s="173" t="s">
        <v>845</v>
      </c>
      <c r="D12" s="173" t="s">
        <v>855</v>
      </c>
      <c r="E12" s="1598" t="s">
        <v>836</v>
      </c>
      <c r="F12" s="1598"/>
      <c r="N12" s="226"/>
      <c r="R12" s="227"/>
      <c r="AA12" s="225"/>
    </row>
    <row r="13" spans="1:49" s="144" customFormat="1" ht="15.75" customHeight="1">
      <c r="A13" s="1597"/>
      <c r="B13" s="172" t="s">
        <v>851</v>
      </c>
      <c r="C13" s="172" t="s">
        <v>846</v>
      </c>
      <c r="D13" s="172">
        <v>0.15</v>
      </c>
      <c r="E13" s="1500" t="s">
        <v>987</v>
      </c>
      <c r="F13" s="1500"/>
      <c r="N13" s="226"/>
      <c r="R13" s="227"/>
      <c r="AA13" s="225"/>
    </row>
    <row r="14" spans="1:49" s="144" customFormat="1">
      <c r="A14" s="1597"/>
      <c r="B14" s="172" t="s">
        <v>852</v>
      </c>
      <c r="C14" s="172" t="s">
        <v>847</v>
      </c>
      <c r="D14" s="172">
        <v>0.2</v>
      </c>
      <c r="E14" s="1500"/>
      <c r="F14" s="1500"/>
      <c r="N14" s="226"/>
      <c r="R14" s="227"/>
      <c r="AA14" s="225"/>
    </row>
    <row r="15" spans="1:49" s="144" customFormat="1">
      <c r="A15" s="1597"/>
      <c r="B15" s="172" t="s">
        <v>853</v>
      </c>
      <c r="C15" s="172" t="s">
        <v>848</v>
      </c>
      <c r="D15" s="172">
        <v>0.25</v>
      </c>
      <c r="E15" s="1500"/>
      <c r="F15" s="1500"/>
      <c r="N15" s="226"/>
      <c r="R15" s="227"/>
      <c r="AA15" s="225"/>
    </row>
    <row r="16" spans="1:49" s="144" customFormat="1">
      <c r="A16" s="1597"/>
      <c r="B16" s="172" t="s">
        <v>854</v>
      </c>
      <c r="C16" s="172" t="s">
        <v>849</v>
      </c>
      <c r="D16" s="172">
        <v>0.3</v>
      </c>
      <c r="E16" s="1500"/>
      <c r="F16" s="1500"/>
      <c r="N16" s="226"/>
      <c r="R16" s="227"/>
      <c r="AA16" s="225"/>
    </row>
    <row r="17" spans="1:27" s="144" customFormat="1">
      <c r="A17" s="1597"/>
      <c r="B17" s="172" t="s">
        <v>859</v>
      </c>
      <c r="C17" s="172" t="s">
        <v>846</v>
      </c>
      <c r="D17" s="172">
        <v>0.15</v>
      </c>
      <c r="E17" s="1500"/>
      <c r="F17" s="1500"/>
      <c r="N17" s="226"/>
      <c r="R17" s="227"/>
      <c r="AA17" s="225"/>
    </row>
    <row r="18" spans="1:27" s="144" customFormat="1">
      <c r="A18" s="1597"/>
      <c r="B18" s="172" t="s">
        <v>860</v>
      </c>
      <c r="C18" s="172" t="s">
        <v>847</v>
      </c>
      <c r="D18" s="172">
        <v>0.2</v>
      </c>
      <c r="E18" s="1500"/>
      <c r="F18" s="1500"/>
      <c r="N18" s="226"/>
      <c r="R18" s="227"/>
      <c r="AA18" s="225"/>
    </row>
    <row r="19" spans="1:27" s="144" customFormat="1">
      <c r="A19" s="1597"/>
      <c r="B19" s="172" t="s">
        <v>861</v>
      </c>
      <c r="C19" s="172" t="s">
        <v>848</v>
      </c>
      <c r="D19" s="172">
        <v>0.25</v>
      </c>
      <c r="E19" s="1500"/>
      <c r="F19" s="1500"/>
      <c r="N19" s="226"/>
      <c r="R19" s="227"/>
      <c r="AA19" s="225"/>
    </row>
    <row r="20" spans="1:27" s="144" customFormat="1">
      <c r="A20" s="1597"/>
      <c r="B20" s="172" t="s">
        <v>862</v>
      </c>
      <c r="C20" s="172" t="s">
        <v>849</v>
      </c>
      <c r="D20" s="172">
        <v>0.3</v>
      </c>
      <c r="E20" s="1500"/>
      <c r="F20" s="1500"/>
      <c r="N20" s="226"/>
      <c r="R20" s="227"/>
      <c r="AA20" s="225"/>
    </row>
    <row r="21" spans="1:27" s="144" customFormat="1">
      <c r="N21" s="226"/>
      <c r="R21" s="227"/>
      <c r="AA21" s="225"/>
    </row>
    <row r="22" spans="1:27" s="144" customFormat="1">
      <c r="A22" s="1594" t="s">
        <v>876</v>
      </c>
      <c r="B22" s="173" t="s">
        <v>863</v>
      </c>
      <c r="C22" s="173" t="s">
        <v>864</v>
      </c>
      <c r="D22" s="173" t="s">
        <v>836</v>
      </c>
      <c r="N22" s="226"/>
      <c r="R22" s="227"/>
      <c r="AA22" s="225"/>
    </row>
    <row r="23" spans="1:27" s="144" customFormat="1" ht="15.75" customHeight="1">
      <c r="A23" s="1595"/>
      <c r="B23" s="172" t="s">
        <v>865</v>
      </c>
      <c r="C23" s="172">
        <v>1E-3</v>
      </c>
      <c r="D23" s="1490" t="s">
        <v>987</v>
      </c>
      <c r="N23" s="226"/>
      <c r="R23" s="227"/>
      <c r="AA23" s="225"/>
    </row>
    <row r="24" spans="1:27" s="144" customFormat="1">
      <c r="A24" s="1595"/>
      <c r="B24" s="172" t="s">
        <v>866</v>
      </c>
      <c r="C24" s="172">
        <v>0.05</v>
      </c>
      <c r="D24" s="1491"/>
      <c r="N24" s="226"/>
      <c r="R24" s="227"/>
      <c r="AA24" s="225"/>
    </row>
    <row r="25" spans="1:27" s="144" customFormat="1">
      <c r="A25" s="1595"/>
      <c r="B25" s="172" t="s">
        <v>867</v>
      </c>
      <c r="C25" s="172">
        <v>0.05</v>
      </c>
      <c r="D25" s="1491"/>
      <c r="N25" s="226"/>
      <c r="R25" s="227"/>
      <c r="AA25" s="225"/>
    </row>
    <row r="26" spans="1:27" s="144" customFormat="1">
      <c r="A26" s="1595"/>
      <c r="B26" s="172" t="s">
        <v>868</v>
      </c>
      <c r="C26" s="172">
        <v>0.4</v>
      </c>
      <c r="D26" s="1491"/>
      <c r="N26" s="226"/>
      <c r="R26" s="227"/>
      <c r="AA26" s="225"/>
    </row>
    <row r="27" spans="1:27" s="144" customFormat="1">
      <c r="A27" s="1595"/>
      <c r="B27" s="172" t="s">
        <v>644</v>
      </c>
      <c r="C27" s="172">
        <v>0.1</v>
      </c>
      <c r="D27" s="1491"/>
      <c r="N27" s="226"/>
      <c r="R27" s="227"/>
      <c r="AA27" s="225"/>
    </row>
    <row r="28" spans="1:27" s="144" customFormat="1">
      <c r="A28" s="1595"/>
      <c r="B28" s="172" t="s">
        <v>378</v>
      </c>
      <c r="C28" s="172">
        <v>0.1</v>
      </c>
      <c r="D28" s="1491"/>
      <c r="N28" s="226"/>
      <c r="R28" s="227"/>
      <c r="AA28" s="225"/>
    </row>
    <row r="29" spans="1:27" s="144" customFormat="1">
      <c r="A29" s="1595"/>
      <c r="B29" s="172" t="s">
        <v>869</v>
      </c>
      <c r="C29" s="172">
        <v>0.15</v>
      </c>
      <c r="D29" s="1491"/>
      <c r="N29" s="226"/>
      <c r="R29" s="227"/>
      <c r="AA29" s="225"/>
    </row>
    <row r="30" spans="1:27" s="144" customFormat="1">
      <c r="A30" s="1595"/>
      <c r="B30" s="172" t="s">
        <v>870</v>
      </c>
      <c r="C30" s="172">
        <v>0.15</v>
      </c>
      <c r="D30" s="1491"/>
      <c r="N30" s="226"/>
      <c r="R30" s="227"/>
      <c r="AA30" s="225"/>
    </row>
    <row r="31" spans="1:27" s="144" customFormat="1">
      <c r="A31" s="1595"/>
      <c r="B31" s="172" t="s">
        <v>885</v>
      </c>
      <c r="C31" s="172">
        <v>0.01</v>
      </c>
      <c r="D31" s="1491"/>
      <c r="N31" s="226"/>
      <c r="R31" s="227"/>
      <c r="AA31" s="225"/>
    </row>
    <row r="32" spans="1:27" s="144" customFormat="1">
      <c r="A32" s="1595"/>
      <c r="B32" s="172" t="s">
        <v>871</v>
      </c>
      <c r="C32" s="172">
        <v>0.05</v>
      </c>
      <c r="D32" s="1491"/>
      <c r="N32" s="226"/>
      <c r="R32" s="227"/>
      <c r="AA32" s="225"/>
    </row>
    <row r="33" spans="1:27" s="144" customFormat="1">
      <c r="A33" s="1595"/>
      <c r="B33" s="172" t="s">
        <v>872</v>
      </c>
      <c r="C33" s="172">
        <v>0.05</v>
      </c>
      <c r="D33" s="1491"/>
      <c r="N33" s="226"/>
      <c r="R33" s="227"/>
      <c r="AA33" s="225"/>
    </row>
    <row r="34" spans="1:27" s="144" customFormat="1">
      <c r="A34" s="1595"/>
      <c r="B34" s="172" t="s">
        <v>873</v>
      </c>
      <c r="C34" s="172">
        <v>0.6</v>
      </c>
      <c r="D34" s="1491"/>
      <c r="N34" s="226"/>
      <c r="R34" s="227"/>
      <c r="AA34" s="225"/>
    </row>
    <row r="35" spans="1:27" s="144" customFormat="1">
      <c r="A35" s="1595"/>
      <c r="B35" s="172" t="s">
        <v>874</v>
      </c>
      <c r="C35" s="172">
        <v>0.25</v>
      </c>
      <c r="D35" s="1491"/>
      <c r="N35" s="226"/>
      <c r="R35" s="227"/>
      <c r="AA35" s="225"/>
    </row>
    <row r="36" spans="1:27" s="144" customFormat="1">
      <c r="A36" s="1596"/>
      <c r="B36" s="172" t="s">
        <v>875</v>
      </c>
      <c r="C36" s="172">
        <v>1</v>
      </c>
      <c r="D36" s="1499"/>
      <c r="N36" s="226"/>
      <c r="R36" s="227"/>
      <c r="AA36" s="225"/>
    </row>
    <row r="37" spans="1:27" s="144" customFormat="1">
      <c r="F37" s="11"/>
      <c r="G37" s="11"/>
      <c r="H37" s="11"/>
      <c r="I37" s="11"/>
      <c r="N37" s="226"/>
      <c r="R37" s="227"/>
      <c r="AA37" s="225"/>
    </row>
    <row r="38" spans="1:27" s="144" customFormat="1">
      <c r="A38" s="1597" t="s">
        <v>878</v>
      </c>
      <c r="B38" s="173" t="s">
        <v>877</v>
      </c>
      <c r="C38" s="173" t="s">
        <v>832</v>
      </c>
      <c r="D38" s="172" t="s">
        <v>879</v>
      </c>
      <c r="E38" s="1098" t="s">
        <v>836</v>
      </c>
      <c r="F38" s="11"/>
      <c r="G38" s="11"/>
      <c r="H38" s="11"/>
      <c r="I38" s="11"/>
      <c r="N38" s="226"/>
      <c r="R38" s="227"/>
      <c r="AA38" s="225"/>
    </row>
    <row r="39" spans="1:27" s="144" customFormat="1" ht="15" customHeight="1">
      <c r="A39" s="1597"/>
      <c r="B39" s="172" t="s">
        <v>880</v>
      </c>
      <c r="C39" s="172">
        <v>25</v>
      </c>
      <c r="D39" s="172">
        <v>0.32</v>
      </c>
      <c r="E39" s="268" t="s">
        <v>899</v>
      </c>
      <c r="F39" s="11"/>
      <c r="G39" s="11"/>
      <c r="H39" s="11"/>
      <c r="I39" s="11"/>
      <c r="N39" s="226"/>
      <c r="R39" s="227"/>
      <c r="AA39" s="225"/>
    </row>
    <row r="40" spans="1:27" s="144" customFormat="1">
      <c r="A40" s="1597"/>
      <c r="B40" s="172" t="s">
        <v>881</v>
      </c>
      <c r="C40" s="172">
        <v>22</v>
      </c>
      <c r="D40" s="172">
        <v>0.3</v>
      </c>
      <c r="E40" s="268"/>
      <c r="F40" s="11"/>
      <c r="G40" s="11"/>
      <c r="H40" s="11"/>
      <c r="I40" s="11"/>
      <c r="N40" s="226"/>
      <c r="R40" s="227"/>
      <c r="AA40" s="225"/>
    </row>
    <row r="41" spans="1:27" s="144" customFormat="1">
      <c r="A41" s="1597"/>
      <c r="B41" s="172" t="s">
        <v>882</v>
      </c>
      <c r="C41" s="172">
        <v>15</v>
      </c>
      <c r="D41" s="172">
        <v>0.19</v>
      </c>
      <c r="E41" s="268"/>
      <c r="F41" s="11"/>
      <c r="G41" s="11"/>
      <c r="H41" s="11"/>
      <c r="I41" s="11"/>
      <c r="N41" s="226"/>
      <c r="R41" s="227"/>
      <c r="AA41" s="225"/>
    </row>
    <row r="42" spans="1:27" s="144" customFormat="1">
      <c r="F42" s="11"/>
      <c r="G42" s="11"/>
      <c r="H42" s="11"/>
      <c r="I42" s="11"/>
      <c r="N42" s="226"/>
      <c r="R42" s="227"/>
      <c r="AA42" s="225"/>
    </row>
    <row r="43" spans="1:27" s="144" customFormat="1" ht="47.25" customHeight="1">
      <c r="B43" s="172"/>
      <c r="C43" s="1593" t="s">
        <v>979</v>
      </c>
      <c r="D43" s="1593"/>
      <c r="E43" s="1593"/>
      <c r="F43" s="1593"/>
      <c r="G43" s="1593"/>
      <c r="H43" s="1593"/>
      <c r="N43" s="226"/>
      <c r="R43" s="227"/>
      <c r="AA43" s="225"/>
    </row>
    <row r="44" spans="1:27" s="269" customFormat="1" ht="16.5" thickBot="1">
      <c r="B44" s="270"/>
      <c r="C44" s="239">
        <v>1</v>
      </c>
      <c r="D44" s="239">
        <v>3</v>
      </c>
      <c r="E44" s="239">
        <v>5</v>
      </c>
      <c r="F44" s="239">
        <v>15</v>
      </c>
      <c r="G44" s="239">
        <v>30</v>
      </c>
      <c r="H44" s="239">
        <v>90</v>
      </c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AA44" s="271"/>
    </row>
    <row r="45" spans="1:27" s="144" customFormat="1" ht="16.5" thickBot="1">
      <c r="B45" s="144" t="s">
        <v>970</v>
      </c>
      <c r="C45" s="240">
        <v>0.3</v>
      </c>
      <c r="D45" s="240">
        <v>0.3</v>
      </c>
      <c r="E45" s="240">
        <v>0.3</v>
      </c>
      <c r="F45" s="240">
        <v>0.49</v>
      </c>
      <c r="G45" s="240">
        <v>0.65</v>
      </c>
      <c r="H45" s="240">
        <v>1.01</v>
      </c>
      <c r="L45" s="272"/>
      <c r="AA45" s="225"/>
    </row>
    <row r="46" spans="1:27" s="144" customFormat="1">
      <c r="B46" s="144" t="s">
        <v>971</v>
      </c>
      <c r="C46" s="240">
        <v>0.52</v>
      </c>
      <c r="D46" s="240">
        <v>0.85</v>
      </c>
      <c r="E46" s="240">
        <v>1.06</v>
      </c>
      <c r="F46" s="240">
        <v>2.2200000000000002</v>
      </c>
      <c r="G46" s="240">
        <v>3.4</v>
      </c>
      <c r="H46" s="240">
        <v>6.68</v>
      </c>
      <c r="AA46" s="225"/>
    </row>
    <row r="47" spans="1:27" s="144" customFormat="1">
      <c r="B47" s="144" t="s">
        <v>972</v>
      </c>
      <c r="C47" s="240">
        <v>0.59</v>
      </c>
      <c r="D47" s="240">
        <v>1.1299999999999999</v>
      </c>
      <c r="E47" s="240">
        <v>1.53</v>
      </c>
      <c r="F47" s="240">
        <v>3.39</v>
      </c>
      <c r="G47" s="240">
        <v>5.34</v>
      </c>
      <c r="H47" s="240">
        <v>11.01</v>
      </c>
      <c r="AA47" s="225"/>
    </row>
    <row r="48" spans="1:27" s="144" customFormat="1">
      <c r="B48" s="144" t="s">
        <v>973</v>
      </c>
      <c r="C48" s="240">
        <v>0.65</v>
      </c>
      <c r="D48" s="240">
        <v>1.38</v>
      </c>
      <c r="E48" s="240">
        <v>1.95</v>
      </c>
      <c r="F48" s="240">
        <v>4.45</v>
      </c>
      <c r="G48" s="240">
        <v>7.14</v>
      </c>
      <c r="H48" s="240">
        <v>15.14</v>
      </c>
      <c r="AA48" s="225"/>
    </row>
    <row r="49" spans="2:27" s="144" customFormat="1">
      <c r="N49" s="226"/>
      <c r="R49" s="227"/>
      <c r="AA49" s="225"/>
    </row>
    <row r="50" spans="2:27" s="144" customFormat="1">
      <c r="N50" s="226"/>
      <c r="R50" s="227"/>
      <c r="AA50" s="225"/>
    </row>
    <row r="51" spans="2:27" s="144" customFormat="1">
      <c r="N51" s="226"/>
      <c r="R51" s="227"/>
      <c r="AA51" s="225"/>
    </row>
    <row r="52" spans="2:27" s="144" customFormat="1">
      <c r="N52" s="226"/>
      <c r="R52" s="227"/>
      <c r="AA52" s="225"/>
    </row>
    <row r="53" spans="2:27" s="144" customFormat="1">
      <c r="N53" s="226"/>
      <c r="R53" s="227"/>
      <c r="AA53" s="225"/>
    </row>
    <row r="54" spans="2:27" s="144" customFormat="1">
      <c r="B54" s="1592" t="s">
        <v>975</v>
      </c>
      <c r="C54" s="1592"/>
      <c r="D54" s="1592"/>
      <c r="E54" s="1592"/>
      <c r="F54" s="1592"/>
      <c r="G54" s="1592"/>
      <c r="H54" s="1592"/>
      <c r="I54" s="1592"/>
      <c r="J54" s="1592"/>
      <c r="K54" s="1592"/>
      <c r="L54" s="1592"/>
      <c r="M54" s="1592"/>
      <c r="N54" s="1592"/>
      <c r="O54" s="1592"/>
      <c r="P54" s="1592"/>
      <c r="Q54" s="1592"/>
      <c r="R54" s="1592"/>
      <c r="S54" s="1592"/>
      <c r="AA54" s="225"/>
    </row>
    <row r="55" spans="2:27" s="144" customFormat="1"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AA55" s="225"/>
    </row>
    <row r="56" spans="2:27" s="144" customFormat="1">
      <c r="B56" s="274"/>
      <c r="C56" s="274"/>
      <c r="D56" s="274"/>
      <c r="E56" s="274"/>
      <c r="F56" s="274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AA56" s="225"/>
    </row>
    <row r="57" spans="2:27" s="227" customFormat="1">
      <c r="B57" s="275" t="s">
        <v>978</v>
      </c>
      <c r="C57" s="276" t="s">
        <v>976</v>
      </c>
      <c r="D57" s="276">
        <v>6</v>
      </c>
      <c r="E57" s="276">
        <v>9</v>
      </c>
      <c r="F57" s="276">
        <v>12</v>
      </c>
      <c r="G57" s="276">
        <v>15</v>
      </c>
      <c r="H57" s="276">
        <v>25</v>
      </c>
      <c r="I57" s="276">
        <v>50</v>
      </c>
      <c r="J57" s="276">
        <v>75</v>
      </c>
      <c r="K57" s="276">
        <v>100</v>
      </c>
      <c r="L57" s="276">
        <v>150</v>
      </c>
      <c r="M57" s="276">
        <v>200</v>
      </c>
      <c r="N57" s="276">
        <v>250</v>
      </c>
      <c r="O57" s="276">
        <v>300</v>
      </c>
      <c r="P57" s="276">
        <v>400</v>
      </c>
      <c r="Q57" s="276">
        <v>600</v>
      </c>
      <c r="R57" s="276">
        <v>800</v>
      </c>
      <c r="S57" s="277">
        <v>1000</v>
      </c>
      <c r="AA57" s="225"/>
    </row>
    <row r="58" spans="2:27" s="269" customFormat="1">
      <c r="B58" s="278" t="s">
        <v>977</v>
      </c>
      <c r="C58" s="278">
        <f>3*0.3048</f>
        <v>0.9144000000000001</v>
      </c>
      <c r="D58" s="278">
        <f t="shared" ref="D58:S58" si="0">D57*0.3048</f>
        <v>1.8288000000000002</v>
      </c>
      <c r="E58" s="278">
        <f t="shared" si="0"/>
        <v>2.7432000000000003</v>
      </c>
      <c r="F58" s="278">
        <f t="shared" si="0"/>
        <v>3.6576000000000004</v>
      </c>
      <c r="G58" s="278">
        <f t="shared" si="0"/>
        <v>4.5720000000000001</v>
      </c>
      <c r="H58" s="278">
        <f t="shared" si="0"/>
        <v>7.62</v>
      </c>
      <c r="I58" s="278">
        <f t="shared" si="0"/>
        <v>15.24</v>
      </c>
      <c r="J58" s="278">
        <f t="shared" si="0"/>
        <v>22.86</v>
      </c>
      <c r="K58" s="278">
        <f t="shared" si="0"/>
        <v>30.48</v>
      </c>
      <c r="L58" s="278">
        <f t="shared" si="0"/>
        <v>45.72</v>
      </c>
      <c r="M58" s="278">
        <f t="shared" si="0"/>
        <v>60.96</v>
      </c>
      <c r="N58" s="278">
        <f t="shared" si="0"/>
        <v>76.2</v>
      </c>
      <c r="O58" s="278">
        <f t="shared" si="0"/>
        <v>91.44</v>
      </c>
      <c r="P58" s="278">
        <f t="shared" si="0"/>
        <v>121.92</v>
      </c>
      <c r="Q58" s="278">
        <f t="shared" si="0"/>
        <v>182.88</v>
      </c>
      <c r="R58" s="278">
        <f t="shared" si="0"/>
        <v>243.84</v>
      </c>
      <c r="S58" s="278">
        <f t="shared" si="0"/>
        <v>304.8</v>
      </c>
      <c r="AA58" s="271"/>
    </row>
    <row r="59" spans="2:27" s="144" customFormat="1">
      <c r="B59" s="279" t="s">
        <v>360</v>
      </c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AA59" s="225"/>
    </row>
    <row r="60" spans="2:27" s="144" customFormat="1">
      <c r="B60" s="276">
        <v>0.2</v>
      </c>
      <c r="C60" s="281">
        <v>0.05</v>
      </c>
      <c r="D60" s="281">
        <v>0.05</v>
      </c>
      <c r="E60" s="281">
        <v>0.05</v>
      </c>
      <c r="F60" s="281">
        <v>0.05</v>
      </c>
      <c r="G60" s="281">
        <v>0.05</v>
      </c>
      <c r="H60" s="281">
        <v>0.05</v>
      </c>
      <c r="I60" s="281">
        <v>0.05</v>
      </c>
      <c r="J60" s="281">
        <v>0.05</v>
      </c>
      <c r="K60" s="281">
        <v>0.05</v>
      </c>
      <c r="L60" s="281">
        <v>0.05</v>
      </c>
      <c r="M60" s="281">
        <v>0.05</v>
      </c>
      <c r="N60" s="281">
        <v>0.05</v>
      </c>
      <c r="O60" s="281">
        <v>0.05</v>
      </c>
      <c r="P60" s="281">
        <v>0.05</v>
      </c>
      <c r="Q60" s="281">
        <v>0.06</v>
      </c>
      <c r="R60" s="281">
        <v>0.06</v>
      </c>
      <c r="S60" s="281">
        <v>0.06</v>
      </c>
      <c r="AA60" s="225"/>
    </row>
    <row r="61" spans="2:27" s="144" customFormat="1">
      <c r="B61" s="276">
        <v>0.5</v>
      </c>
      <c r="C61" s="281">
        <v>7.0000000000000007E-2</v>
      </c>
      <c r="D61" s="281">
        <v>7.0000000000000007E-2</v>
      </c>
      <c r="E61" s="281">
        <v>7.0000000000000007E-2</v>
      </c>
      <c r="F61" s="281">
        <v>7.0000000000000007E-2</v>
      </c>
      <c r="G61" s="281">
        <v>7.0000000000000007E-2</v>
      </c>
      <c r="H61" s="281">
        <v>0.08</v>
      </c>
      <c r="I61" s="281">
        <v>0.08</v>
      </c>
      <c r="J61" s="281">
        <v>0.08</v>
      </c>
      <c r="K61" s="281">
        <v>0.09</v>
      </c>
      <c r="L61" s="281">
        <v>0.09</v>
      </c>
      <c r="M61" s="281">
        <v>0.09</v>
      </c>
      <c r="N61" s="281">
        <v>0.09</v>
      </c>
      <c r="O61" s="281">
        <v>0.09</v>
      </c>
      <c r="P61" s="281">
        <v>0.1</v>
      </c>
      <c r="Q61" s="281">
        <v>0.1</v>
      </c>
      <c r="R61" s="281">
        <v>0.1</v>
      </c>
      <c r="S61" s="281">
        <v>0.1</v>
      </c>
      <c r="AA61" s="225"/>
    </row>
    <row r="62" spans="2:27" s="144" customFormat="1">
      <c r="B62" s="276">
        <v>1</v>
      </c>
      <c r="C62" s="281">
        <v>0.11</v>
      </c>
      <c r="D62" s="281">
        <v>0.11</v>
      </c>
      <c r="E62" s="281">
        <v>0.11</v>
      </c>
      <c r="F62" s="281">
        <v>0.11</v>
      </c>
      <c r="G62" s="281">
        <v>0.11</v>
      </c>
      <c r="H62" s="281">
        <v>0.12</v>
      </c>
      <c r="I62" s="281">
        <v>0.13</v>
      </c>
      <c r="J62" s="281">
        <v>0.14000000000000001</v>
      </c>
      <c r="K62" s="281">
        <v>0.14000000000000001</v>
      </c>
      <c r="L62" s="281">
        <v>0.15</v>
      </c>
      <c r="M62" s="281">
        <v>0.16</v>
      </c>
      <c r="N62" s="281">
        <v>0.17</v>
      </c>
      <c r="O62" s="281">
        <v>0.17</v>
      </c>
      <c r="P62" s="281">
        <v>0.18</v>
      </c>
      <c r="Q62" s="281">
        <v>0.19</v>
      </c>
      <c r="R62" s="281">
        <v>0.2</v>
      </c>
      <c r="S62" s="281">
        <v>0.2</v>
      </c>
      <c r="AA62" s="225"/>
    </row>
    <row r="63" spans="2:27" s="144" customFormat="1">
      <c r="B63" s="276">
        <v>2</v>
      </c>
      <c r="C63" s="281">
        <v>0.17</v>
      </c>
      <c r="D63" s="281">
        <v>0.17</v>
      </c>
      <c r="E63" s="281">
        <v>0.17</v>
      </c>
      <c r="F63" s="281">
        <v>0.17</v>
      </c>
      <c r="G63" s="281">
        <v>0.17</v>
      </c>
      <c r="H63" s="281">
        <v>0.19</v>
      </c>
      <c r="I63" s="281">
        <v>0.22</v>
      </c>
      <c r="J63" s="281">
        <v>0.25</v>
      </c>
      <c r="K63" s="281">
        <v>0.27</v>
      </c>
      <c r="L63" s="281">
        <v>0.28999999999999998</v>
      </c>
      <c r="M63" s="281">
        <v>0.31</v>
      </c>
      <c r="N63" s="281">
        <v>0.33</v>
      </c>
      <c r="O63" s="281">
        <v>0.35</v>
      </c>
      <c r="P63" s="281">
        <v>0.37</v>
      </c>
      <c r="Q63" s="281">
        <v>0.41</v>
      </c>
      <c r="R63" s="281">
        <v>0.44</v>
      </c>
      <c r="S63" s="281">
        <v>0.47</v>
      </c>
      <c r="AA63" s="225"/>
    </row>
    <row r="64" spans="2:27" s="144" customFormat="1">
      <c r="B64" s="276">
        <v>3</v>
      </c>
      <c r="C64" s="281">
        <v>0.22</v>
      </c>
      <c r="D64" s="281">
        <v>0.22</v>
      </c>
      <c r="E64" s="281">
        <v>0.22</v>
      </c>
      <c r="F64" s="281">
        <v>0.22</v>
      </c>
      <c r="G64" s="281">
        <v>0.22</v>
      </c>
      <c r="H64" s="281">
        <v>0.25</v>
      </c>
      <c r="I64" s="281">
        <v>0.32</v>
      </c>
      <c r="J64" s="281">
        <v>0.36</v>
      </c>
      <c r="K64" s="281">
        <v>0.39</v>
      </c>
      <c r="L64" s="281">
        <v>0.44</v>
      </c>
      <c r="M64" s="281">
        <v>0.48</v>
      </c>
      <c r="N64" s="281">
        <v>0.52</v>
      </c>
      <c r="O64" s="281">
        <v>0.55000000000000004</v>
      </c>
      <c r="P64" s="281">
        <v>0.6</v>
      </c>
      <c r="Q64" s="281">
        <v>0.68</v>
      </c>
      <c r="R64" s="281">
        <v>0.75</v>
      </c>
      <c r="S64" s="281">
        <v>0.8</v>
      </c>
      <c r="AA64" s="225"/>
    </row>
    <row r="65" spans="2:27" s="144" customFormat="1">
      <c r="B65" s="276">
        <v>4</v>
      </c>
      <c r="C65" s="281">
        <v>0.26</v>
      </c>
      <c r="D65" s="281">
        <v>0.26</v>
      </c>
      <c r="E65" s="281">
        <v>0.26</v>
      </c>
      <c r="F65" s="281">
        <v>0.26</v>
      </c>
      <c r="G65" s="281">
        <v>0.26</v>
      </c>
      <c r="H65" s="281">
        <v>0.31</v>
      </c>
      <c r="I65" s="281">
        <v>0.4</v>
      </c>
      <c r="J65" s="281">
        <v>0.47</v>
      </c>
      <c r="K65" s="281">
        <v>0.52</v>
      </c>
      <c r="L65" s="281">
        <v>0.6</v>
      </c>
      <c r="M65" s="281">
        <v>0.67</v>
      </c>
      <c r="N65" s="281">
        <v>0.72</v>
      </c>
      <c r="O65" s="281">
        <v>0.77</v>
      </c>
      <c r="P65" s="281">
        <v>0.86</v>
      </c>
      <c r="Q65" s="281">
        <v>0.99</v>
      </c>
      <c r="R65" s="281">
        <v>1.1000000000000001</v>
      </c>
      <c r="S65" s="281">
        <v>1.19</v>
      </c>
      <c r="AA65" s="225"/>
    </row>
    <row r="66" spans="2:27" s="144" customFormat="1">
      <c r="B66" s="276">
        <v>5</v>
      </c>
      <c r="C66" s="281">
        <v>0.3</v>
      </c>
      <c r="D66" s="281">
        <v>0.3</v>
      </c>
      <c r="E66" s="281">
        <v>0.3</v>
      </c>
      <c r="F66" s="281">
        <v>0.3</v>
      </c>
      <c r="G66" s="281">
        <v>0.3</v>
      </c>
      <c r="H66" s="281">
        <v>0.37</v>
      </c>
      <c r="I66" s="281">
        <v>0.49</v>
      </c>
      <c r="J66" s="281">
        <v>0.57999999999999996</v>
      </c>
      <c r="K66" s="281">
        <v>0.65</v>
      </c>
      <c r="L66" s="281">
        <v>0.76</v>
      </c>
      <c r="M66" s="281">
        <v>0.85</v>
      </c>
      <c r="N66" s="281">
        <v>0.93</v>
      </c>
      <c r="O66" s="281">
        <v>1.01</v>
      </c>
      <c r="P66" s="281">
        <v>1.1299999999999999</v>
      </c>
      <c r="Q66" s="281">
        <v>1.33</v>
      </c>
      <c r="R66" s="281">
        <v>1.49</v>
      </c>
      <c r="S66" s="281">
        <v>1.63</v>
      </c>
      <c r="AA66" s="225"/>
    </row>
    <row r="67" spans="2:27" s="144" customFormat="1">
      <c r="B67" s="276">
        <v>6</v>
      </c>
      <c r="C67" s="281">
        <v>0.34</v>
      </c>
      <c r="D67" s="281">
        <v>0.34</v>
      </c>
      <c r="E67" s="281">
        <v>0.34</v>
      </c>
      <c r="F67" s="281">
        <v>0.34</v>
      </c>
      <c r="G67" s="281">
        <v>0.34</v>
      </c>
      <c r="H67" s="281">
        <v>0.43</v>
      </c>
      <c r="I67" s="281">
        <v>0.57999999999999996</v>
      </c>
      <c r="J67" s="281">
        <v>0.69</v>
      </c>
      <c r="K67" s="281">
        <v>0.78</v>
      </c>
      <c r="L67" s="281">
        <v>0.93</v>
      </c>
      <c r="M67" s="281">
        <v>1.05</v>
      </c>
      <c r="N67" s="281">
        <v>1.1599999999999999</v>
      </c>
      <c r="O67" s="281">
        <v>1.25</v>
      </c>
      <c r="P67" s="281">
        <v>1.42</v>
      </c>
      <c r="Q67" s="281">
        <v>1.69</v>
      </c>
      <c r="R67" s="281">
        <v>1.91</v>
      </c>
      <c r="S67" s="281">
        <v>2.11</v>
      </c>
      <c r="AA67" s="225"/>
    </row>
    <row r="68" spans="2:27" s="144" customFormat="1">
      <c r="B68" s="276">
        <v>8</v>
      </c>
      <c r="C68" s="281">
        <v>0.42</v>
      </c>
      <c r="D68" s="281">
        <v>0.42</v>
      </c>
      <c r="E68" s="281">
        <v>0.42</v>
      </c>
      <c r="F68" s="281">
        <v>0.42</v>
      </c>
      <c r="G68" s="281">
        <v>0.42</v>
      </c>
      <c r="H68" s="281">
        <v>0.53</v>
      </c>
      <c r="I68" s="281">
        <v>0.74</v>
      </c>
      <c r="J68" s="281">
        <v>0.91</v>
      </c>
      <c r="K68" s="281">
        <v>1.04</v>
      </c>
      <c r="L68" s="281">
        <v>1.26</v>
      </c>
      <c r="M68" s="281">
        <v>1.45</v>
      </c>
      <c r="N68" s="281">
        <v>1.62</v>
      </c>
      <c r="O68" s="281">
        <v>1.77</v>
      </c>
      <c r="P68" s="281">
        <v>2.0299999999999998</v>
      </c>
      <c r="Q68" s="281">
        <v>2.4700000000000002</v>
      </c>
      <c r="R68" s="281">
        <v>2.83</v>
      </c>
      <c r="S68" s="281">
        <v>3.15</v>
      </c>
      <c r="AA68" s="225"/>
    </row>
    <row r="69" spans="2:27" s="144" customFormat="1">
      <c r="B69" s="276">
        <v>10</v>
      </c>
      <c r="C69" s="281">
        <v>0.46</v>
      </c>
      <c r="D69" s="281">
        <v>0.48</v>
      </c>
      <c r="E69" s="281">
        <v>0.5</v>
      </c>
      <c r="F69" s="281">
        <v>0.51</v>
      </c>
      <c r="G69" s="281">
        <v>0.52</v>
      </c>
      <c r="H69" s="281">
        <v>0.67</v>
      </c>
      <c r="I69" s="281">
        <v>0.97</v>
      </c>
      <c r="J69" s="281">
        <v>1.19</v>
      </c>
      <c r="K69" s="281">
        <v>1.38</v>
      </c>
      <c r="L69" s="281">
        <v>1.71</v>
      </c>
      <c r="M69" s="281">
        <v>1.98</v>
      </c>
      <c r="N69" s="281">
        <v>2.2200000000000002</v>
      </c>
      <c r="O69" s="281">
        <v>2.44</v>
      </c>
      <c r="P69" s="281">
        <v>2.84</v>
      </c>
      <c r="Q69" s="281">
        <v>3.5</v>
      </c>
      <c r="R69" s="281">
        <v>4.0599999999999996</v>
      </c>
      <c r="S69" s="281">
        <v>4.5599999999999996</v>
      </c>
      <c r="AA69" s="225"/>
    </row>
    <row r="70" spans="2:27" s="144" customFormat="1">
      <c r="B70" s="276">
        <v>12</v>
      </c>
      <c r="C70" s="281">
        <v>0.47</v>
      </c>
      <c r="D70" s="281">
        <v>0.53</v>
      </c>
      <c r="E70" s="281">
        <v>0.57999999999999996</v>
      </c>
      <c r="F70" s="281">
        <v>0.61</v>
      </c>
      <c r="G70" s="281">
        <v>0.64</v>
      </c>
      <c r="H70" s="281">
        <v>0.84</v>
      </c>
      <c r="I70" s="281">
        <v>1.23</v>
      </c>
      <c r="J70" s="281">
        <v>1.53</v>
      </c>
      <c r="K70" s="281">
        <v>1.79</v>
      </c>
      <c r="L70" s="281">
        <v>2.23</v>
      </c>
      <c r="M70" s="281">
        <v>2.61</v>
      </c>
      <c r="N70" s="281">
        <v>2.95</v>
      </c>
      <c r="O70" s="281">
        <v>3.26</v>
      </c>
      <c r="P70" s="281">
        <v>3.81</v>
      </c>
      <c r="Q70" s="281">
        <v>4.75</v>
      </c>
      <c r="R70" s="281">
        <v>5.56</v>
      </c>
      <c r="S70" s="281">
        <v>6.28</v>
      </c>
      <c r="AA70" s="225"/>
    </row>
    <row r="71" spans="2:27" s="144" customFormat="1">
      <c r="B71" s="276">
        <v>14</v>
      </c>
      <c r="C71" s="281">
        <v>0.48</v>
      </c>
      <c r="D71" s="281">
        <v>0.57999999999999996</v>
      </c>
      <c r="E71" s="281">
        <v>0.65</v>
      </c>
      <c r="F71" s="281">
        <v>0.7</v>
      </c>
      <c r="G71" s="281">
        <v>0.75</v>
      </c>
      <c r="H71" s="281">
        <v>1</v>
      </c>
      <c r="I71" s="281">
        <v>1.48</v>
      </c>
      <c r="J71" s="281">
        <v>1.86</v>
      </c>
      <c r="K71" s="281">
        <v>2.19</v>
      </c>
      <c r="L71" s="281">
        <v>2.76</v>
      </c>
      <c r="M71" s="281">
        <v>3.25</v>
      </c>
      <c r="N71" s="281">
        <v>3.69</v>
      </c>
      <c r="O71" s="281">
        <v>4.09</v>
      </c>
      <c r="P71" s="281">
        <v>4.82</v>
      </c>
      <c r="Q71" s="281">
        <v>6.07</v>
      </c>
      <c r="R71" s="281">
        <v>7.15</v>
      </c>
      <c r="S71" s="281">
        <v>8.11</v>
      </c>
      <c r="AA71" s="225"/>
    </row>
    <row r="72" spans="2:27" s="144" customFormat="1">
      <c r="B72" s="276">
        <v>16</v>
      </c>
      <c r="C72" s="281">
        <v>0.49</v>
      </c>
      <c r="D72" s="281">
        <v>0.63</v>
      </c>
      <c r="E72" s="281">
        <v>0.72</v>
      </c>
      <c r="F72" s="281">
        <v>0.79</v>
      </c>
      <c r="G72" s="281">
        <v>0.85</v>
      </c>
      <c r="H72" s="281">
        <v>1.1499999999999999</v>
      </c>
      <c r="I72" s="281">
        <v>1.73</v>
      </c>
      <c r="J72" s="281">
        <v>2.2000000000000002</v>
      </c>
      <c r="K72" s="281">
        <v>2.6</v>
      </c>
      <c r="L72" s="281">
        <v>3.3</v>
      </c>
      <c r="M72" s="281">
        <v>3.9</v>
      </c>
      <c r="N72" s="281">
        <v>4.45</v>
      </c>
      <c r="O72" s="281">
        <v>4.95</v>
      </c>
      <c r="P72" s="281">
        <v>5.86</v>
      </c>
      <c r="Q72" s="281">
        <v>7.43</v>
      </c>
      <c r="R72" s="281">
        <v>8.7899999999999991</v>
      </c>
      <c r="S72" s="281">
        <v>10.02</v>
      </c>
      <c r="AA72" s="225"/>
    </row>
    <row r="73" spans="2:27" s="144" customFormat="1">
      <c r="B73" s="276">
        <v>20</v>
      </c>
      <c r="C73" s="281">
        <v>0.52</v>
      </c>
      <c r="D73" s="281">
        <v>0.71</v>
      </c>
      <c r="E73" s="281">
        <v>0.85</v>
      </c>
      <c r="F73" s="281">
        <v>0.96</v>
      </c>
      <c r="G73" s="281">
        <v>1.06</v>
      </c>
      <c r="H73" s="281">
        <v>1.45</v>
      </c>
      <c r="I73" s="281">
        <v>2.2200000000000002</v>
      </c>
      <c r="J73" s="281">
        <v>2.85</v>
      </c>
      <c r="K73" s="281">
        <v>3.4</v>
      </c>
      <c r="L73" s="281">
        <v>4.3600000000000003</v>
      </c>
      <c r="M73" s="281">
        <v>5.21</v>
      </c>
      <c r="N73" s="281">
        <v>5.97</v>
      </c>
      <c r="O73" s="281">
        <v>6.68</v>
      </c>
      <c r="P73" s="281">
        <v>7.97</v>
      </c>
      <c r="Q73" s="281">
        <v>10.23</v>
      </c>
      <c r="R73" s="281">
        <v>12.2</v>
      </c>
      <c r="S73" s="281">
        <v>13.99</v>
      </c>
      <c r="AA73" s="225"/>
    </row>
    <row r="74" spans="2:27" s="144" customFormat="1">
      <c r="B74" s="276">
        <v>25</v>
      </c>
      <c r="C74" s="281">
        <v>0.56000000000000005</v>
      </c>
      <c r="D74" s="281">
        <v>0.8</v>
      </c>
      <c r="E74" s="281">
        <v>1</v>
      </c>
      <c r="F74" s="281">
        <v>1.1599999999999999</v>
      </c>
      <c r="G74" s="281">
        <v>1.3</v>
      </c>
      <c r="H74" s="281">
        <v>1.81</v>
      </c>
      <c r="I74" s="281">
        <v>2.82</v>
      </c>
      <c r="J74" s="281">
        <v>3.65</v>
      </c>
      <c r="K74" s="281">
        <v>4.3899999999999997</v>
      </c>
      <c r="L74" s="281">
        <v>5.69</v>
      </c>
      <c r="M74" s="281">
        <v>6.83</v>
      </c>
      <c r="N74" s="281">
        <v>7.88</v>
      </c>
      <c r="O74" s="281">
        <v>8.86</v>
      </c>
      <c r="P74" s="281">
        <v>10.65</v>
      </c>
      <c r="Q74" s="281">
        <v>13.8</v>
      </c>
      <c r="R74" s="281">
        <v>16.579999999999998</v>
      </c>
      <c r="S74" s="281">
        <v>19.13</v>
      </c>
      <c r="AA74" s="225"/>
    </row>
    <row r="75" spans="2:27" s="144" customFormat="1">
      <c r="B75" s="276">
        <v>30</v>
      </c>
      <c r="C75" s="281">
        <v>0.59</v>
      </c>
      <c r="D75" s="281">
        <v>0.89</v>
      </c>
      <c r="E75" s="281">
        <v>1.1299999999999999</v>
      </c>
      <c r="F75" s="281">
        <v>1.34</v>
      </c>
      <c r="G75" s="281">
        <v>1.53</v>
      </c>
      <c r="H75" s="281">
        <v>2.15</v>
      </c>
      <c r="I75" s="281">
        <v>3.39</v>
      </c>
      <c r="J75" s="281">
        <v>4.42</v>
      </c>
      <c r="K75" s="281">
        <v>5.34</v>
      </c>
      <c r="L75" s="281">
        <v>6.98</v>
      </c>
      <c r="M75" s="281">
        <v>8.43</v>
      </c>
      <c r="N75" s="281">
        <v>9.76</v>
      </c>
      <c r="O75" s="281">
        <v>11.01</v>
      </c>
      <c r="P75" s="281">
        <v>13.3</v>
      </c>
      <c r="Q75" s="281">
        <v>17.37</v>
      </c>
      <c r="R75" s="281">
        <v>20.99</v>
      </c>
      <c r="S75" s="281">
        <v>24.31</v>
      </c>
      <c r="AA75" s="225"/>
    </row>
    <row r="76" spans="2:27" s="144" customFormat="1">
      <c r="B76" s="276">
        <v>40</v>
      </c>
      <c r="C76" s="281">
        <v>0.65</v>
      </c>
      <c r="D76" s="281">
        <v>1.05</v>
      </c>
      <c r="E76" s="281">
        <v>1.38</v>
      </c>
      <c r="F76" s="281">
        <v>1.68</v>
      </c>
      <c r="G76" s="281">
        <v>1.95</v>
      </c>
      <c r="H76" s="281">
        <v>2.77</v>
      </c>
      <c r="I76" s="281">
        <v>4.45</v>
      </c>
      <c r="J76" s="281">
        <v>5.87</v>
      </c>
      <c r="K76" s="281">
        <v>7.14</v>
      </c>
      <c r="L76" s="281">
        <v>9.43</v>
      </c>
      <c r="M76" s="281">
        <v>11.47</v>
      </c>
      <c r="N76" s="281">
        <v>13.37</v>
      </c>
      <c r="O76" s="281">
        <v>15.14</v>
      </c>
      <c r="P76" s="281">
        <v>18.43</v>
      </c>
      <c r="Q76" s="281">
        <v>24.32</v>
      </c>
      <c r="R76" s="281">
        <v>29.6</v>
      </c>
      <c r="S76" s="281">
        <v>34.479999999999997</v>
      </c>
      <c r="AA76" s="225"/>
    </row>
    <row r="77" spans="2:27" s="144" customFormat="1">
      <c r="B77" s="276">
        <v>50</v>
      </c>
      <c r="C77" s="281">
        <v>0.71</v>
      </c>
      <c r="D77" s="281">
        <v>1.18</v>
      </c>
      <c r="E77" s="281">
        <v>1.59</v>
      </c>
      <c r="F77" s="281">
        <v>1.97</v>
      </c>
      <c r="G77" s="281">
        <v>2.3199999999999998</v>
      </c>
      <c r="H77" s="281">
        <v>3.32</v>
      </c>
      <c r="I77" s="281">
        <v>5.4</v>
      </c>
      <c r="J77" s="281">
        <v>7.17</v>
      </c>
      <c r="K77" s="281">
        <v>8.7799999999999994</v>
      </c>
      <c r="L77" s="281">
        <v>11.66</v>
      </c>
      <c r="M77" s="281">
        <v>14.26</v>
      </c>
      <c r="N77" s="281">
        <v>16.670000000000002</v>
      </c>
      <c r="O77" s="281">
        <v>18.940000000000001</v>
      </c>
      <c r="P77" s="281">
        <v>23.17</v>
      </c>
      <c r="Q77" s="281">
        <v>30.78</v>
      </c>
      <c r="R77" s="281">
        <v>37.65</v>
      </c>
      <c r="S77" s="281">
        <v>44.02</v>
      </c>
      <c r="AA77" s="225"/>
    </row>
    <row r="78" spans="2:27" s="144" customFormat="1">
      <c r="B78" s="279">
        <v>60</v>
      </c>
      <c r="C78" s="282">
        <v>0.76</v>
      </c>
      <c r="D78" s="282">
        <v>1.3</v>
      </c>
      <c r="E78" s="282">
        <v>1.78</v>
      </c>
      <c r="F78" s="282">
        <v>2.23</v>
      </c>
      <c r="G78" s="282">
        <v>2.65</v>
      </c>
      <c r="H78" s="282">
        <v>3.81</v>
      </c>
      <c r="I78" s="282">
        <v>6.24</v>
      </c>
      <c r="J78" s="282">
        <v>8.33</v>
      </c>
      <c r="K78" s="282">
        <v>10.23</v>
      </c>
      <c r="L78" s="282">
        <v>13.65</v>
      </c>
      <c r="M78" s="282">
        <v>16.760000000000002</v>
      </c>
      <c r="N78" s="282">
        <v>19.64</v>
      </c>
      <c r="O78" s="282">
        <v>22.36</v>
      </c>
      <c r="P78" s="282">
        <v>27.45</v>
      </c>
      <c r="Q78" s="282">
        <v>36.630000000000003</v>
      </c>
      <c r="R78" s="282">
        <v>44.96</v>
      </c>
      <c r="S78" s="282">
        <v>52.7</v>
      </c>
      <c r="AA78" s="225"/>
    </row>
    <row r="79" spans="2:27" s="144" customFormat="1">
      <c r="N79" s="226"/>
      <c r="R79" s="227"/>
      <c r="AA79" s="225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E63" zoomScale="90" zoomScaleNormal="90" workbookViewId="0">
      <selection activeCell="S182" sqref="S182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15" style="493" customWidth="1"/>
  </cols>
  <sheetData>
    <row r="1" spans="1:38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489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</row>
    <row r="2" spans="1:38" ht="16.5" thickBot="1">
      <c r="A2" s="323" t="s">
        <v>1110</v>
      </c>
      <c r="B2" s="323"/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  <c r="V2" s="489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</row>
    <row r="3" spans="1:38" s="152" customFormat="1" ht="63.75" thickBot="1">
      <c r="A3" s="434"/>
      <c r="B3" s="435"/>
      <c r="C3" s="435"/>
      <c r="D3" s="435"/>
      <c r="E3" s="435"/>
      <c r="F3" s="436" t="s">
        <v>946</v>
      </c>
      <c r="G3" s="437">
        <f>INPUTS!D10/365</f>
        <v>0.52054794520547942</v>
      </c>
      <c r="H3" s="438"/>
      <c r="I3" s="435"/>
      <c r="J3" s="435"/>
      <c r="K3" s="435"/>
      <c r="L3" s="439"/>
      <c r="M3" s="435"/>
      <c r="N3" s="440"/>
      <c r="O3" s="436" t="s">
        <v>945</v>
      </c>
      <c r="P3" s="437">
        <f>INPUTS!D11/365</f>
        <v>0.47945205479452052</v>
      </c>
      <c r="Q3" s="435"/>
      <c r="R3" s="435"/>
      <c r="S3" s="435"/>
      <c r="T3" s="435"/>
      <c r="U3" s="412"/>
      <c r="V3" s="491"/>
      <c r="X3" s="436" t="s">
        <v>945</v>
      </c>
      <c r="Y3" s="437">
        <f>INPUTS!D12/365</f>
        <v>0</v>
      </c>
    </row>
    <row r="4" spans="1:38" s="144" customFormat="1" ht="16.5" thickBot="1">
      <c r="H4" s="226"/>
      <c r="L4" s="227"/>
      <c r="U4" s="225"/>
      <c r="V4" s="489"/>
    </row>
    <row r="5" spans="1:38" s="144" customFormat="1" ht="32.25" thickBot="1">
      <c r="B5" s="261"/>
      <c r="C5" s="261"/>
      <c r="D5" s="261"/>
      <c r="E5" s="324" t="s">
        <v>1836</v>
      </c>
      <c r="F5" s="325"/>
      <c r="G5" s="325"/>
      <c r="H5" s="325"/>
      <c r="I5" s="325"/>
      <c r="J5" s="325"/>
      <c r="K5" s="325"/>
      <c r="L5" s="326"/>
      <c r="M5" s="334"/>
      <c r="N5" s="325" t="s">
        <v>819</v>
      </c>
      <c r="O5" s="325"/>
      <c r="P5" s="325"/>
      <c r="Q5" s="325"/>
      <c r="R5" s="325"/>
      <c r="S5" s="325"/>
      <c r="T5" s="325"/>
      <c r="U5" s="326"/>
      <c r="V5" s="334"/>
      <c r="W5" s="325" t="s">
        <v>1835</v>
      </c>
      <c r="X5" s="325"/>
      <c r="Y5" s="325"/>
      <c r="Z5" s="325"/>
      <c r="AA5" s="325"/>
      <c r="AB5" s="325"/>
      <c r="AC5" s="325"/>
      <c r="AD5" s="326"/>
      <c r="AE5" s="496" t="s">
        <v>1837</v>
      </c>
    </row>
    <row r="6" spans="1:38" s="144" customFormat="1" ht="78.75">
      <c r="B6" s="422"/>
      <c r="C6" s="443"/>
      <c r="D6" s="423"/>
      <c r="E6" s="660" t="str">
        <f>INPUTS!B56</f>
        <v>Concentrate (commercial)</v>
      </c>
      <c r="F6" s="658" t="str">
        <f>INPUTS!B57</f>
        <v>Pennisetum purpureum - forage</v>
      </c>
      <c r="G6" s="658" t="str">
        <f>INPUTS!B58</f>
        <v>Rhodes grass (Chloris gayana) - forage</v>
      </c>
      <c r="H6" s="659" t="str">
        <f>INPUTS!B59</f>
        <v>Guatemala (Tripsacum andersonii) - forage</v>
      </c>
      <c r="I6" s="658" t="str">
        <f>INPUTS!B60</f>
        <v>Maize (Zea mays) - stover</v>
      </c>
      <c r="J6" s="658" t="str">
        <f>INPUTS!B61</f>
        <v xml:space="preserve">Naturally occuring pasture - green fodder </v>
      </c>
      <c r="K6" s="658" t="str">
        <f>INPUTS!B62</f>
        <v>N/A</v>
      </c>
      <c r="L6" s="537" t="s">
        <v>814</v>
      </c>
      <c r="M6" s="329"/>
      <c r="N6" s="742" t="str">
        <f>E6</f>
        <v>Concentrate (commercial)</v>
      </c>
      <c r="O6" s="742" t="str">
        <f t="shared" ref="O6:T6" si="0">F6</f>
        <v>Pennisetum purpureum - forage</v>
      </c>
      <c r="P6" s="742" t="str">
        <f t="shared" si="0"/>
        <v>Rhodes grass (Chloris gayana) - forage</v>
      </c>
      <c r="Q6" s="742" t="str">
        <f t="shared" si="0"/>
        <v>Guatemala (Tripsacum andersonii) - forage</v>
      </c>
      <c r="R6" s="742" t="str">
        <f t="shared" si="0"/>
        <v>Maize (Zea mays) - stover</v>
      </c>
      <c r="S6" s="742" t="str">
        <f t="shared" si="0"/>
        <v xml:space="preserve">Naturally occuring pasture - green fodder </v>
      </c>
      <c r="T6" s="742" t="str">
        <f t="shared" si="0"/>
        <v>N/A</v>
      </c>
      <c r="U6" s="335" t="s">
        <v>814</v>
      </c>
      <c r="V6" s="329"/>
      <c r="W6" s="742" t="str">
        <f>N6</f>
        <v>Concentrate (commercial)</v>
      </c>
      <c r="X6" s="742" t="str">
        <f t="shared" ref="X6" si="1">O6</f>
        <v>Pennisetum purpureum - forage</v>
      </c>
      <c r="Y6" s="742" t="str">
        <f t="shared" ref="Y6" si="2">P6</f>
        <v>Rhodes grass (Chloris gayana) - forage</v>
      </c>
      <c r="Z6" s="742" t="str">
        <f t="shared" ref="Z6" si="3">Q6</f>
        <v>Guatemala (Tripsacum andersonii) - forage</v>
      </c>
      <c r="AA6" s="742" t="str">
        <f t="shared" ref="AA6" si="4">R6</f>
        <v>Maize (Zea mays) - stover</v>
      </c>
      <c r="AB6" s="742" t="str">
        <f t="shared" ref="AB6" si="5">S6</f>
        <v xml:space="preserve">Naturally occuring pasture - green fodder </v>
      </c>
      <c r="AC6" s="742" t="str">
        <f t="shared" ref="AC6" si="6">T6</f>
        <v>N/A</v>
      </c>
      <c r="AD6" s="335" t="s">
        <v>814</v>
      </c>
      <c r="AE6" s="489"/>
    </row>
    <row r="7" spans="1:38" s="291" customFormat="1" ht="32.25" customHeight="1">
      <c r="B7" s="424" t="str">
        <f>INPUTS!C17</f>
        <v>Cows (improved)</v>
      </c>
      <c r="C7" s="444"/>
      <c r="D7" s="425" t="s">
        <v>1170</v>
      </c>
      <c r="E7" s="327">
        <f>INPUTS!C56</f>
        <v>0.05</v>
      </c>
      <c r="F7" s="292">
        <f>INPUTS!C57</f>
        <v>0.15</v>
      </c>
      <c r="G7" s="292">
        <f>INPUTS!C58</f>
        <v>0.37</v>
      </c>
      <c r="H7" s="292">
        <f>INPUTS!C59</f>
        <v>0.05</v>
      </c>
      <c r="I7" s="292">
        <f>INPUTS!C60</f>
        <v>0.02</v>
      </c>
      <c r="J7" s="292">
        <f>INPUTS!C61</f>
        <v>0.36</v>
      </c>
      <c r="K7" s="292">
        <f>INPUTS!C62</f>
        <v>0</v>
      </c>
      <c r="L7" s="328"/>
      <c r="M7" s="487" t="s">
        <v>1170</v>
      </c>
      <c r="N7" s="292">
        <f>INPUTS!R56</f>
        <v>0.08</v>
      </c>
      <c r="O7" s="292">
        <f>INPUTS!R57</f>
        <v>0.08</v>
      </c>
      <c r="P7" s="292">
        <f>INPUTS!R58</f>
        <v>0.19</v>
      </c>
      <c r="Q7" s="292">
        <f>INPUTS!R59</f>
        <v>0.3</v>
      </c>
      <c r="R7" s="292">
        <f>INPUTS!R60</f>
        <v>0.15</v>
      </c>
      <c r="S7" s="292">
        <f>INPUTS!R61</f>
        <v>0.2</v>
      </c>
      <c r="T7" s="292">
        <f>INPUTS!R62</f>
        <v>0</v>
      </c>
      <c r="U7" s="336"/>
      <c r="V7" s="487" t="s">
        <v>1170</v>
      </c>
      <c r="W7" s="292">
        <f>INPUTS!AG56</f>
        <v>0</v>
      </c>
      <c r="X7" s="292">
        <f>INPUTS!AG57</f>
        <v>0</v>
      </c>
      <c r="Y7" s="292">
        <f>INPUTS!AG58</f>
        <v>0</v>
      </c>
      <c r="Z7" s="292">
        <f>INPUTS!AG59</f>
        <v>0</v>
      </c>
      <c r="AA7" s="292">
        <f>INPUTS!AG60</f>
        <v>0</v>
      </c>
      <c r="AB7" s="292">
        <f>INPUTS!AG61</f>
        <v>0</v>
      </c>
      <c r="AC7" s="292">
        <f>INPUTS!AG62</f>
        <v>0</v>
      </c>
      <c r="AD7" s="336"/>
      <c r="AE7" s="492"/>
    </row>
    <row r="8" spans="1:38" s="406" customFormat="1">
      <c r="B8" s="426"/>
      <c r="C8" s="445"/>
      <c r="D8" s="427" t="s">
        <v>815</v>
      </c>
      <c r="E8" s="339">
        <f>VLOOKUP(E6,'Feed parameters'!$A$2:$M$113,6, FALSE)</f>
        <v>14.4</v>
      </c>
      <c r="F8" s="919">
        <f>VLOOKUP(F6,'Feed parameters'!$A$2:$M$113,6, FALSE)</f>
        <v>1.65</v>
      </c>
      <c r="G8" s="413">
        <f>VLOOKUP(G6,FEED_P[[#All],[Feed]:[DE (fraction)]],6, FALSE)</f>
        <v>2.5148999999999999</v>
      </c>
      <c r="H8" s="413">
        <f>VLOOKUP(H6,'Feed parameters'!$A$2:$M$113,6, FALSE)</f>
        <v>1.21</v>
      </c>
      <c r="I8" s="413">
        <f>VLOOKUP(I6,'Feed parameters'!$A$2:$M$113,6, FALSE)</f>
        <v>3.3930000000000002</v>
      </c>
      <c r="J8" s="413">
        <f>VLOOKUP(J6,'Feed parameters'!$A$2:$M$113,6, FALSE)</f>
        <v>3.6</v>
      </c>
      <c r="K8" s="413">
        <f>VLOOKUP(K6,'Feed parameters'!$A$2:$M$113,6, FALSE)</f>
        <v>0</v>
      </c>
      <c r="L8" s="414">
        <f>IFERROR(SUMPRODUCT(E7:K7,E8:K8)/ SUM(E7:K7), 0)</f>
        <v>3.3223729999999998</v>
      </c>
      <c r="M8" s="339" t="s">
        <v>815</v>
      </c>
      <c r="N8" s="638">
        <f>VLOOKUP(N6,'Feed parameters'!$A$2:$M$113,6, FALSE)</f>
        <v>14.4</v>
      </c>
      <c r="O8" s="638">
        <f>VLOOKUP(O6,'Feed parameters'!$A$2:$M$113,6, FALSE)</f>
        <v>1.65</v>
      </c>
      <c r="P8" s="638">
        <f>VLOOKUP(P6,FEED_P[[#All],[Feed]:[DE (fraction)]],6, FALSE)</f>
        <v>2.5148999999999999</v>
      </c>
      <c r="Q8" s="638">
        <f>VLOOKUP(Q6,'Feed parameters'!$A$2:$M$113,6, FALSE)</f>
        <v>1.21</v>
      </c>
      <c r="R8" s="638">
        <f>VLOOKUP(R6,'Feed parameters'!$A$2:$M$113,6, FALSE)</f>
        <v>3.3930000000000002</v>
      </c>
      <c r="S8" s="638">
        <f>VLOOKUP(S6,'Feed parameters'!$A$2:$M$113,6, FALSE)</f>
        <v>3.6</v>
      </c>
      <c r="T8" s="638">
        <f>VLOOKUP(T6,'Feed parameters'!$A$2:$M$113,6, FALSE)</f>
        <v>0</v>
      </c>
      <c r="U8" s="415">
        <f>IFERROR(SUMPRODUCT(N7:T7,N8:T8)/ SUM(N7:T7), 0)</f>
        <v>3.3537810000000006</v>
      </c>
      <c r="V8" s="339" t="s">
        <v>815</v>
      </c>
      <c r="W8" s="638">
        <f>VLOOKUP(W6,'Feed parameters'!$A$2:$M$113,6, FALSE)</f>
        <v>14.4</v>
      </c>
      <c r="X8" s="638">
        <f>VLOOKUP(X6,'Feed parameters'!$A$2:$M$113,6, FALSE)</f>
        <v>1.65</v>
      </c>
      <c r="Y8" s="638">
        <f>VLOOKUP(Y6,FEED_P[[#All],[Feed]:[DE (fraction)]],6, FALSE)</f>
        <v>2.5148999999999999</v>
      </c>
      <c r="Z8" s="638">
        <f>VLOOKUP(Z6,'Feed parameters'!$A$2:$M$113,6, FALSE)</f>
        <v>1.21</v>
      </c>
      <c r="AA8" s="638">
        <f>VLOOKUP(AA6,'Feed parameters'!$A$2:$M$113,6, FALSE)</f>
        <v>3.3930000000000002</v>
      </c>
      <c r="AB8" s="638">
        <f>VLOOKUP(AB6,'Feed parameters'!$A$2:$M$113,6, FALSE)</f>
        <v>3.6</v>
      </c>
      <c r="AC8" s="638">
        <f>VLOOKUP(AC6,'Feed parameters'!$A$2:$M$113,6, FALSE)</f>
        <v>0</v>
      </c>
      <c r="AD8" s="415">
        <f>IFERROR(SUMPRODUCT(W7:AC7,W8:AC8)/ SUM(W7:AC7), 0)</f>
        <v>0</v>
      </c>
      <c r="AE8" s="495">
        <f>L8*$G$3+U8*$P$3+AD8*$Y$3</f>
        <v>3.3374316301369862</v>
      </c>
      <c r="AF8" s="407" t="e">
        <f>L8*$G$3/(L11*0.01)+U8*$P$3/(U11*0.01)+AD8*$Y$3/(AD11*0.01)</f>
        <v>#DIV/0!</v>
      </c>
    </row>
    <row r="9" spans="1:38" s="144" customFormat="1">
      <c r="B9" s="426"/>
      <c r="C9" s="445"/>
      <c r="D9" s="427" t="s">
        <v>816</v>
      </c>
      <c r="E9" s="329">
        <f>VLOOKUP(E6,'Feed parameters'!$A$2:$M$113,7, FALSE)</f>
        <v>0.79859999999999998</v>
      </c>
      <c r="F9" s="920">
        <f>VLOOKUP(F6,'Feed parameters'!$A$2:$M$113,7, FALSE)</f>
        <v>0.65213596800000007</v>
      </c>
      <c r="G9" s="262">
        <f>VLOOKUP(G6,FEED_P[[#All],[Feed]:[DE (fraction)]],7, FALSE)</f>
        <v>0.53459999999999996</v>
      </c>
      <c r="H9" s="262">
        <f>VLOOKUP(H6,'Feed parameters'!$A$2:$M$113,7, FALSE)</f>
        <v>0.5411999999999999</v>
      </c>
      <c r="I9" s="262">
        <f>VLOOKUP(I6,'Feed parameters'!$A$2:$M$113,7, FALSE)</f>
        <v>0.45539999999999997</v>
      </c>
      <c r="J9" s="262">
        <f>VLOOKUP(J6,'Feed parameters'!$A$2:$M$113,7, FALSE)</f>
        <v>0.33</v>
      </c>
      <c r="K9" s="262">
        <f>VLOOKUP(K6,'Feed parameters'!$A$2:$M$113,7, FALSE)</f>
        <v>0</v>
      </c>
      <c r="L9" s="330">
        <f>IFERROR(SUMPRODUCT(E7:K7,E9:K9)/ SUM(E7:K7), 0)</f>
        <v>0.49052039520000001</v>
      </c>
      <c r="M9" s="339" t="s">
        <v>816</v>
      </c>
      <c r="N9" s="638">
        <f>VLOOKUP(N6,'Feed parameters'!$A$2:$M$113,7, FALSE)</f>
        <v>0.79859999999999998</v>
      </c>
      <c r="O9" s="638">
        <f>VLOOKUP(O6,'Feed parameters'!$A$2:$M$113,7, FALSE)</f>
        <v>0.65213596800000007</v>
      </c>
      <c r="P9" s="638">
        <f>VLOOKUP(P6,FEED_P[[#All],[Feed]:[DE (fraction)]],7, FALSE)</f>
        <v>0.53459999999999996</v>
      </c>
      <c r="Q9" s="638">
        <f>VLOOKUP(Q6,'Feed parameters'!$A$2:$M$113,7, FALSE)</f>
        <v>0.5411999999999999</v>
      </c>
      <c r="R9" s="638">
        <f>VLOOKUP(R6,'Feed parameters'!$A$2:$M$113,7, FALSE)</f>
        <v>0.45539999999999997</v>
      </c>
      <c r="S9" s="638">
        <f>VLOOKUP(S6,'Feed parameters'!$A$2:$M$113,7, FALSE)</f>
        <v>0.33</v>
      </c>
      <c r="T9" s="638">
        <f>VLOOKUP(T6,'Feed parameters'!$A$2:$M$113,7, FALSE)</f>
        <v>0</v>
      </c>
      <c r="U9" s="337">
        <f>IFERROR(SUMPRODUCT(N7:T7,N9:T9)/ SUM(N7:T7), 0)</f>
        <v>0.51430287744000003</v>
      </c>
      <c r="V9" s="339" t="s">
        <v>816</v>
      </c>
      <c r="W9" s="638">
        <f>VLOOKUP(W6,'Feed parameters'!$A$2:$M$113,7, FALSE)</f>
        <v>0.79859999999999998</v>
      </c>
      <c r="X9" s="638">
        <f>VLOOKUP(X6,'Feed parameters'!$A$2:$M$113,7, FALSE)</f>
        <v>0.65213596800000007</v>
      </c>
      <c r="Y9" s="638">
        <f>VLOOKUP(Y6,FEED_P[[#All],[Feed]:[DE (fraction)]],7, FALSE)</f>
        <v>0.53459999999999996</v>
      </c>
      <c r="Z9" s="638">
        <f>VLOOKUP(Z6,'Feed parameters'!$A$2:$M$113,7, FALSE)</f>
        <v>0.5411999999999999</v>
      </c>
      <c r="AA9" s="638">
        <f>VLOOKUP(AA6,'Feed parameters'!$A$2:$M$113,7, FALSE)</f>
        <v>0.45539999999999997</v>
      </c>
      <c r="AB9" s="638">
        <f>VLOOKUP(AB6,'Feed parameters'!$A$2:$M$113,7, FALSE)</f>
        <v>0.33</v>
      </c>
      <c r="AC9" s="638">
        <f>VLOOKUP(AC6,'Feed parameters'!$A$2:$M$113,7, FALSE)</f>
        <v>0</v>
      </c>
      <c r="AD9" s="337">
        <f>IFERROR(SUMPRODUCT(W7:AC7,W9:AC9)/ SUM(W7:AC7), 0)</f>
        <v>0</v>
      </c>
      <c r="AE9" s="495">
        <f>L9*$G$3+U9*$P$3+AD9*$Y$3</f>
        <v>0.50192295517808216</v>
      </c>
    </row>
    <row r="10" spans="1:38" s="144" customFormat="1">
      <c r="B10" s="426"/>
      <c r="C10" s="445"/>
      <c r="D10" s="427" t="s">
        <v>906</v>
      </c>
      <c r="E10" s="329">
        <f>VLOOKUP(E6,'Feed parameters'!$A$2:$M$113,4, FALSE)</f>
        <v>10.89</v>
      </c>
      <c r="F10" s="920">
        <f>VLOOKUP(F6,'Feed parameters'!$A$2:$M$113,4, FALSE)</f>
        <v>1.4821272000000001</v>
      </c>
      <c r="G10" s="262">
        <f>VLOOKUP(G6,FEED_P[[#All],[Feed]:[DE (fraction)]],4, FALSE)</f>
        <v>2.0168999999999997</v>
      </c>
      <c r="H10" s="262">
        <f>VLOOKUP(H6,'Feed parameters'!$A$2:$M$113,4, FALSE)</f>
        <v>1.8039999999999998</v>
      </c>
      <c r="I10" s="262">
        <f>VLOOKUP(I6,'Feed parameters'!$A$2:$M$113,4, FALSE)</f>
        <v>6.0030000000000001</v>
      </c>
      <c r="J10" s="262">
        <f>VLOOKUP(J6,'Feed parameters'!$A$2:$M$113,4, FALSE)</f>
        <v>3</v>
      </c>
      <c r="K10" s="262">
        <f>VLOOKUP(K6,'Feed parameters'!$A$2:$M$113,4, FALSE)</f>
        <v>0</v>
      </c>
      <c r="L10" s="330">
        <f>IFERROR(SUMPRODUCT(E7:K7,E10:K10)/ SUM(E7:K7), 0)</f>
        <v>2.8033320800000001</v>
      </c>
      <c r="M10" s="339" t="s">
        <v>906</v>
      </c>
      <c r="N10" s="638">
        <f>VLOOKUP(N6,'Feed parameters'!$A$2:$M$113,4, FALSE)</f>
        <v>10.89</v>
      </c>
      <c r="O10" s="638">
        <f>VLOOKUP(O6,'Feed parameters'!$A$2:$M$113,4, FALSE)</f>
        <v>1.4821272000000001</v>
      </c>
      <c r="P10" s="638">
        <f>VLOOKUP(P6,FEED_P[[#All],[Feed]:[DE (fraction)]],4, FALSE)</f>
        <v>2.0168999999999997</v>
      </c>
      <c r="Q10" s="638">
        <f>VLOOKUP(Q6,'Feed parameters'!$A$2:$M$113,4, FALSE)</f>
        <v>1.8039999999999998</v>
      </c>
      <c r="R10" s="638">
        <f>VLOOKUP(R6,'Feed parameters'!$A$2:$M$113,4, FALSE)</f>
        <v>6.0030000000000001</v>
      </c>
      <c r="S10" s="638">
        <f>VLOOKUP(S6,'Feed parameters'!$A$2:$M$113,4, FALSE)</f>
        <v>3</v>
      </c>
      <c r="T10" s="638">
        <f>VLOOKUP(T6,'Feed parameters'!$A$2:$M$113,4, FALSE)</f>
        <v>0</v>
      </c>
      <c r="U10" s="337">
        <f>IFERROR(SUMPRODUCT(N7:T7,N10:T10)/ SUM(N7:T7), 0)</f>
        <v>3.4146311759999999</v>
      </c>
      <c r="V10" s="339" t="s">
        <v>906</v>
      </c>
      <c r="W10" s="638">
        <f>VLOOKUP(W6,'Feed parameters'!$A$2:$M$113,4, FALSE)</f>
        <v>10.89</v>
      </c>
      <c r="X10" s="638">
        <f>VLOOKUP(X6,'Feed parameters'!$A$2:$M$113,4, FALSE)</f>
        <v>1.4821272000000001</v>
      </c>
      <c r="Y10" s="638">
        <f>VLOOKUP(Y6,FEED_P[[#All],[Feed]:[DE (fraction)]],4, FALSE)</f>
        <v>2.0168999999999997</v>
      </c>
      <c r="Z10" s="638">
        <f>VLOOKUP(Z6,'Feed parameters'!$A$2:$M$113,4, FALSE)</f>
        <v>1.8039999999999998</v>
      </c>
      <c r="AA10" s="638">
        <f>VLOOKUP(AA6,'Feed parameters'!$A$2:$M$113,4, FALSE)</f>
        <v>6.0030000000000001</v>
      </c>
      <c r="AB10" s="638">
        <f>VLOOKUP(AB6,'Feed parameters'!$A$2:$M$113,4, FALSE)</f>
        <v>3</v>
      </c>
      <c r="AC10" s="638">
        <f>VLOOKUP(AC6,'Feed parameters'!$A$2:$M$113,4, FALSE)</f>
        <v>0</v>
      </c>
      <c r="AD10" s="337">
        <f>IFERROR(SUMPRODUCT(W7:AC7,W10:AC10)/ SUM(W7:AC7), 0)</f>
        <v>0</v>
      </c>
      <c r="AE10" s="495"/>
    </row>
    <row r="11" spans="1:38" s="144" customFormat="1">
      <c r="B11" s="426"/>
      <c r="C11" s="445"/>
      <c r="D11" s="427" t="s">
        <v>1153</v>
      </c>
      <c r="E11" s="329">
        <f>VLOOKUP(E6,'Feed parameters'!$A$2:$M$113,2, FALSE)</f>
        <v>90</v>
      </c>
      <c r="F11" s="920">
        <f>VLOOKUP(F6,'Feed parameters'!$A$2:$M$113,2, FALSE)</f>
        <v>15</v>
      </c>
      <c r="G11" s="262">
        <f>VLOOKUP(G6,FEED_P[[#All],[Feed]:[DE (fraction)]],2, FALSE)</f>
        <v>24.9</v>
      </c>
      <c r="H11" s="262">
        <f>VLOOKUP(H6,'Feed parameters'!$A$2:$M$113,2, FALSE)</f>
        <v>22</v>
      </c>
      <c r="I11" s="262">
        <f>VLOOKUP(I6,'Feed parameters'!$A$2:$M$113,2, FALSE)</f>
        <v>87</v>
      </c>
      <c r="J11" s="262">
        <f>VLOOKUP(J6,'Feed parameters'!$A$2:$M$113,2, FALSE)</f>
        <v>60</v>
      </c>
      <c r="K11" s="262">
        <f>VLOOKUP(K6,'Feed parameters'!$A$2:$M$113,2, FALSE)</f>
        <v>0</v>
      </c>
      <c r="L11" s="330">
        <f>IFERROR(SUMPRODUCT(E7:K7,E11:K11)/ SUM(E7:K7), 0)</f>
        <v>40.402999999999992</v>
      </c>
      <c r="M11" s="471" t="s">
        <v>1153</v>
      </c>
      <c r="N11" s="638">
        <f>VLOOKUP(N6,'Feed parameters'!$A$2:$M$113,2, FALSE)</f>
        <v>90</v>
      </c>
      <c r="O11" s="638">
        <f>VLOOKUP(O6,'Feed parameters'!$A$2:$M$113,2, FALSE)</f>
        <v>15</v>
      </c>
      <c r="P11" s="638">
        <f>VLOOKUP(P6,FEED_P[[#All],[Feed]:[DE (fraction)]],2, FALSE)</f>
        <v>24.9</v>
      </c>
      <c r="Q11" s="638">
        <f>VLOOKUP(Q6,'Feed parameters'!$A$2:$M$113,2, FALSE)</f>
        <v>22</v>
      </c>
      <c r="R11" s="638">
        <f>VLOOKUP(R6,'Feed parameters'!$A$2:$M$113,2, FALSE)</f>
        <v>87</v>
      </c>
      <c r="S11" s="638">
        <f>VLOOKUP(S6,'Feed parameters'!$A$2:$M$113,2, FALSE)</f>
        <v>60</v>
      </c>
      <c r="T11" s="638">
        <f>VLOOKUP(T6,'Feed parameters'!$A$2:$M$113,2, FALSE)</f>
        <v>0</v>
      </c>
      <c r="U11" s="337">
        <f>IFERROR(SUMPRODUCT(N7:T7,N11:T11)/ SUM(N7:T7), 0)</f>
        <v>44.780999999999999</v>
      </c>
      <c r="V11" s="471" t="s">
        <v>1153</v>
      </c>
      <c r="W11" s="638">
        <f>VLOOKUP(W6,'Feed parameters'!$A$2:$M$113,2, FALSE)</f>
        <v>90</v>
      </c>
      <c r="X11" s="638">
        <f>VLOOKUP(X6,'Feed parameters'!$A$2:$M$113,2, FALSE)</f>
        <v>15</v>
      </c>
      <c r="Y11" s="638">
        <f>VLOOKUP(Y6,FEED_P[[#All],[Feed]:[DE (fraction)]],2, FALSE)</f>
        <v>24.9</v>
      </c>
      <c r="Z11" s="638">
        <f>VLOOKUP(Z6,'Feed parameters'!$A$2:$M$113,2, FALSE)</f>
        <v>22</v>
      </c>
      <c r="AA11" s="638">
        <f>VLOOKUP(AA6,'Feed parameters'!$A$2:$M$113,2, FALSE)</f>
        <v>87</v>
      </c>
      <c r="AB11" s="638">
        <f>VLOOKUP(AB6,'Feed parameters'!$A$2:$M$113,2, FALSE)</f>
        <v>60</v>
      </c>
      <c r="AC11" s="638">
        <f>VLOOKUP(AC6,'Feed parameters'!$A$2:$M$113,2, FALSE)</f>
        <v>0</v>
      </c>
      <c r="AD11" s="337">
        <f>IFERROR(SUMPRODUCT(W7:AC7,W11:AC11)/ SUM(W7:AC7), 0)</f>
        <v>0</v>
      </c>
      <c r="AE11" s="495">
        <f>L11*$G$3+U11*$P$3+AD11*$Y$3</f>
        <v>42.502041095890405</v>
      </c>
    </row>
    <row r="12" spans="1:38" s="144" customFormat="1">
      <c r="B12" s="426"/>
      <c r="C12" s="445"/>
      <c r="D12" s="427" t="s">
        <v>1171</v>
      </c>
      <c r="E12" s="329">
        <f t="shared" ref="E12:K12" si="7">IFERROR((E7*E11)/SUMPRODUCT($E7:$K7,$E11:$K11), 0)</f>
        <v>0.11137786798010051</v>
      </c>
      <c r="F12" s="262">
        <f t="shared" si="7"/>
        <v>5.5688933990050253E-2</v>
      </c>
      <c r="G12" s="262">
        <f t="shared" si="7"/>
        <v>0.22802762171125909</v>
      </c>
      <c r="H12" s="262">
        <f t="shared" si="7"/>
        <v>2.7225701061802349E-2</v>
      </c>
      <c r="I12" s="262">
        <f t="shared" si="7"/>
        <v>4.3066108952305532E-2</v>
      </c>
      <c r="J12" s="262">
        <f t="shared" si="7"/>
        <v>0.53461376630448243</v>
      </c>
      <c r="K12" s="262">
        <f t="shared" si="7"/>
        <v>0</v>
      </c>
      <c r="L12" s="330"/>
      <c r="M12" s="471" t="s">
        <v>1171</v>
      </c>
      <c r="N12" s="262">
        <f t="shared" ref="N12:T12" si="8">IFERROR((N7*N11)/SUMPRODUCT($N7:$T7,$N11:$T11), 0)</f>
        <v>0.16078247471025658</v>
      </c>
      <c r="O12" s="262">
        <f t="shared" si="8"/>
        <v>2.6797079118376095E-2</v>
      </c>
      <c r="P12" s="262">
        <f t="shared" si="8"/>
        <v>0.10564748442419776</v>
      </c>
      <c r="Q12" s="262">
        <f t="shared" si="8"/>
        <v>0.14738393515106854</v>
      </c>
      <c r="R12" s="262">
        <f t="shared" si="8"/>
        <v>0.29141823541234002</v>
      </c>
      <c r="S12" s="262">
        <f t="shared" si="8"/>
        <v>0.26797079118376099</v>
      </c>
      <c r="T12" s="262">
        <f t="shared" si="8"/>
        <v>0</v>
      </c>
      <c r="U12" s="337"/>
      <c r="V12" s="471" t="s">
        <v>1171</v>
      </c>
      <c r="W12" s="262">
        <f>IFERROR((W7*W11)/SUMPRODUCT($W7:$AC7,$W11:$AC11), 0)</f>
        <v>0</v>
      </c>
      <c r="X12" s="262">
        <f t="shared" ref="X12:AC12" si="9">IFERROR((X7*X11)/SUMPRODUCT($W7:$AC7,$W11:$AC11), 0)</f>
        <v>0</v>
      </c>
      <c r="Y12" s="262">
        <f t="shared" si="9"/>
        <v>0</v>
      </c>
      <c r="Z12" s="262">
        <f t="shared" si="9"/>
        <v>0</v>
      </c>
      <c r="AA12" s="262">
        <f t="shared" si="9"/>
        <v>0</v>
      </c>
      <c r="AB12" s="262">
        <f t="shared" si="9"/>
        <v>0</v>
      </c>
      <c r="AC12" s="262">
        <f t="shared" si="9"/>
        <v>0</v>
      </c>
      <c r="AD12" s="337"/>
      <c r="AE12" s="495"/>
    </row>
    <row r="13" spans="1:38" s="144" customFormat="1">
      <c r="B13" s="426"/>
      <c r="C13" s="445"/>
      <c r="D13" s="427"/>
      <c r="E13" s="329"/>
      <c r="F13" s="262"/>
      <c r="G13" s="262"/>
      <c r="H13" s="262"/>
      <c r="I13" s="262"/>
      <c r="J13" s="262"/>
      <c r="K13" s="262"/>
      <c r="L13" s="330"/>
      <c r="M13" s="339"/>
      <c r="N13" s="262"/>
      <c r="O13" s="262"/>
      <c r="P13" s="262"/>
      <c r="Q13" s="262"/>
      <c r="R13" s="262"/>
      <c r="S13" s="262"/>
      <c r="T13" s="262"/>
      <c r="U13" s="337"/>
      <c r="V13" s="339"/>
      <c r="W13" s="262"/>
      <c r="X13" s="262"/>
      <c r="Y13" s="262"/>
      <c r="Z13" s="262"/>
      <c r="AA13" s="262"/>
      <c r="AB13" s="262"/>
      <c r="AC13" s="262"/>
      <c r="AD13" s="337"/>
      <c r="AE13" s="495"/>
    </row>
    <row r="14" spans="1:38" s="291" customFormat="1">
      <c r="B14" s="424" t="str">
        <f>INPUTS!C18</f>
        <v>Steers/heifers</v>
      </c>
      <c r="C14" s="444"/>
      <c r="D14" s="425" t="s">
        <v>1170</v>
      </c>
      <c r="E14" s="327">
        <f>INPUTS!D56</f>
        <v>0.05</v>
      </c>
      <c r="F14" s="292">
        <f>INPUTS!D57</f>
        <v>0.15</v>
      </c>
      <c r="G14" s="292">
        <f>INPUTS!D58</f>
        <v>0.37</v>
      </c>
      <c r="H14" s="292">
        <f>INPUTS!D59</f>
        <v>0.05</v>
      </c>
      <c r="I14" s="292">
        <f>INPUTS!D60</f>
        <v>0.02</v>
      </c>
      <c r="J14" s="292">
        <f>INPUTS!D61</f>
        <v>0.36</v>
      </c>
      <c r="K14" s="292">
        <f>INPUTS!D62</f>
        <v>0</v>
      </c>
      <c r="L14" s="328"/>
      <c r="M14" s="487" t="s">
        <v>1170</v>
      </c>
      <c r="N14" s="292">
        <f>INPUTS!S56</f>
        <v>0.08</v>
      </c>
      <c r="O14" s="292">
        <f>INPUTS!S57</f>
        <v>0.08</v>
      </c>
      <c r="P14" s="292">
        <f>INPUTS!S58</f>
        <v>0.19</v>
      </c>
      <c r="Q14" s="292">
        <f>INPUTS!S59</f>
        <v>0.3</v>
      </c>
      <c r="R14" s="292">
        <f>INPUTS!S60</f>
        <v>0.15</v>
      </c>
      <c r="S14" s="292">
        <f>INPUTS!S61</f>
        <v>0.2</v>
      </c>
      <c r="T14" s="292">
        <f>INPUTS!S62</f>
        <v>0</v>
      </c>
      <c r="U14" s="336"/>
      <c r="V14" s="487" t="s">
        <v>1170</v>
      </c>
      <c r="W14" s="292">
        <f>INPUTS!AH56</f>
        <v>0</v>
      </c>
      <c r="X14" s="292">
        <f>INPUTS!AH57</f>
        <v>0</v>
      </c>
      <c r="Y14" s="292">
        <f>INPUTS!AH58</f>
        <v>0</v>
      </c>
      <c r="Z14" s="292">
        <f>INPUTS!AH59</f>
        <v>0</v>
      </c>
      <c r="AA14" s="292">
        <f>INPUTS!AH60</f>
        <v>0</v>
      </c>
      <c r="AB14" s="292">
        <f>INPUTS!AH61</f>
        <v>0</v>
      </c>
      <c r="AC14" s="292">
        <f>INPUTS!AH62</f>
        <v>0</v>
      </c>
      <c r="AD14" s="336"/>
      <c r="AE14" s="494"/>
    </row>
    <row r="15" spans="1:38" s="144" customFormat="1">
      <c r="B15" s="426"/>
      <c r="C15" s="445"/>
      <c r="D15" s="427" t="s">
        <v>815</v>
      </c>
      <c r="E15" s="329">
        <f>VLOOKUP(E6,'Feed parameters'!$A$2:$M$113,6, FALSE)</f>
        <v>14.4</v>
      </c>
      <c r="F15" s="262">
        <f>VLOOKUP(F6,'Feed parameters'!$A$2:$M$113,6, FALSE)</f>
        <v>1.65</v>
      </c>
      <c r="G15" s="262">
        <f>VLOOKUP(G6,FEED_P[[#All],[Feed]:[DE (fraction)]],6, FALSE)</f>
        <v>2.5148999999999999</v>
      </c>
      <c r="H15" s="262">
        <f>VLOOKUP(H6,'Feed parameters'!$A$2:$M$113,6, FALSE)</f>
        <v>1.21</v>
      </c>
      <c r="I15" s="262">
        <f>VLOOKUP(I6,'Feed parameters'!$A$2:$M$113,6, FALSE)</f>
        <v>3.3930000000000002</v>
      </c>
      <c r="J15" s="262">
        <f>VLOOKUP(J6,'Feed parameters'!$A$2:$M$113,6, FALSE)</f>
        <v>3.6</v>
      </c>
      <c r="K15" s="262">
        <f>VLOOKUP(K6,'Feed parameters'!$A$2:$M$113,6, FALSE)</f>
        <v>0</v>
      </c>
      <c r="L15" s="330">
        <f>IFERROR(SUMPRODUCT(E14:K14,E15:K15)/ SUM(E14:K14), 0)</f>
        <v>3.3223729999999998</v>
      </c>
      <c r="M15" s="339" t="s">
        <v>815</v>
      </c>
      <c r="N15" s="638">
        <f>N8</f>
        <v>14.4</v>
      </c>
      <c r="O15" s="638">
        <f t="shared" ref="O15:T15" si="10">O8</f>
        <v>1.65</v>
      </c>
      <c r="P15" s="638">
        <f t="shared" si="10"/>
        <v>2.5148999999999999</v>
      </c>
      <c r="Q15" s="638">
        <f t="shared" si="10"/>
        <v>1.21</v>
      </c>
      <c r="R15" s="638">
        <f t="shared" si="10"/>
        <v>3.3930000000000002</v>
      </c>
      <c r="S15" s="638">
        <f t="shared" si="10"/>
        <v>3.6</v>
      </c>
      <c r="T15" s="638">
        <f t="shared" si="10"/>
        <v>0</v>
      </c>
      <c r="U15" s="337">
        <f>IFERROR(SUMPRODUCT(N14:T14,N15:T15)/ SUM(N14:T14), 0)</f>
        <v>3.3537810000000006</v>
      </c>
      <c r="V15" s="339" t="s">
        <v>815</v>
      </c>
      <c r="W15" s="638">
        <f>W8</f>
        <v>14.4</v>
      </c>
      <c r="X15" s="638">
        <f t="shared" ref="X15:AC15" si="11">X8</f>
        <v>1.65</v>
      </c>
      <c r="Y15" s="638">
        <f t="shared" si="11"/>
        <v>2.5148999999999999</v>
      </c>
      <c r="Z15" s="638">
        <f t="shared" si="11"/>
        <v>1.21</v>
      </c>
      <c r="AA15" s="638">
        <f t="shared" si="11"/>
        <v>3.3930000000000002</v>
      </c>
      <c r="AB15" s="638">
        <f t="shared" si="11"/>
        <v>3.6</v>
      </c>
      <c r="AC15" s="638">
        <f t="shared" si="11"/>
        <v>0</v>
      </c>
      <c r="AD15" s="337">
        <f>IFERROR(SUMPRODUCT(W14:AC14,W15:AC15)/ SUM(W14:AC14), 0)</f>
        <v>0</v>
      </c>
      <c r="AE15" s="495">
        <f>L15*$G$3+U15*$P$3+AD15*$Y$3</f>
        <v>3.3374316301369862</v>
      </c>
      <c r="AF15" s="407" t="e">
        <f>L15*$G$3/(L18*0.01)+U15*$P$3/(U18*0.01)+AD15*$Y$3/(AD18*0.01)</f>
        <v>#DIV/0!</v>
      </c>
    </row>
    <row r="16" spans="1:38" s="144" customFormat="1">
      <c r="B16" s="426"/>
      <c r="C16" s="445"/>
      <c r="D16" s="427" t="s">
        <v>816</v>
      </c>
      <c r="E16" s="329">
        <f>VLOOKUP(E6,'Feed parameters'!$A$2:$M$113,7, FALSE)</f>
        <v>0.79859999999999998</v>
      </c>
      <c r="F16" s="262">
        <f>VLOOKUP(F6,'Feed parameters'!$A$2:$M$113,7, FALSE)</f>
        <v>0.65213596800000007</v>
      </c>
      <c r="G16" s="262">
        <f>VLOOKUP(G6,FEED_P[[#All],[Feed]:[DE (fraction)]],7, FALSE)</f>
        <v>0.53459999999999996</v>
      </c>
      <c r="H16" s="262">
        <f>VLOOKUP(H6,'Feed parameters'!$A$2:$M$113,7, FALSE)</f>
        <v>0.5411999999999999</v>
      </c>
      <c r="I16" s="262">
        <f>VLOOKUP(I6,'Feed parameters'!$A$2:$M$113,7, FALSE)</f>
        <v>0.45539999999999997</v>
      </c>
      <c r="J16" s="262">
        <f>VLOOKUP(J6,'Feed parameters'!$A$2:$M$113,7, FALSE)</f>
        <v>0.33</v>
      </c>
      <c r="K16" s="262">
        <f>VLOOKUP(K6,'Feed parameters'!$A$2:$M$113,7, FALSE)</f>
        <v>0</v>
      </c>
      <c r="L16" s="330">
        <f>IFERROR(SUMPRODUCT(E14:K14,E16:K16)/ SUM(E14:K14), 0)</f>
        <v>0.49052039520000001</v>
      </c>
      <c r="M16" s="339" t="s">
        <v>816</v>
      </c>
      <c r="N16" s="638">
        <f t="shared" ref="N16:N18" si="12">N9</f>
        <v>0.79859999999999998</v>
      </c>
      <c r="O16" s="638">
        <f t="shared" ref="O16:T16" si="13">O9</f>
        <v>0.65213596800000007</v>
      </c>
      <c r="P16" s="638">
        <f t="shared" si="13"/>
        <v>0.53459999999999996</v>
      </c>
      <c r="Q16" s="638">
        <f t="shared" si="13"/>
        <v>0.5411999999999999</v>
      </c>
      <c r="R16" s="638">
        <f t="shared" si="13"/>
        <v>0.45539999999999997</v>
      </c>
      <c r="S16" s="638">
        <f t="shared" si="13"/>
        <v>0.33</v>
      </c>
      <c r="T16" s="638">
        <f t="shared" si="13"/>
        <v>0</v>
      </c>
      <c r="U16" s="337">
        <f>IFERROR(SUMPRODUCT(N14:T14,N16:T16)/ SUM(N14:T14), 0)</f>
        <v>0.51430287744000003</v>
      </c>
      <c r="V16" s="339" t="s">
        <v>816</v>
      </c>
      <c r="W16" s="638">
        <f t="shared" ref="W16:AC18" si="14">W9</f>
        <v>0.79859999999999998</v>
      </c>
      <c r="X16" s="638">
        <f t="shared" si="14"/>
        <v>0.65213596800000007</v>
      </c>
      <c r="Y16" s="638">
        <f t="shared" si="14"/>
        <v>0.53459999999999996</v>
      </c>
      <c r="Z16" s="638">
        <f t="shared" si="14"/>
        <v>0.5411999999999999</v>
      </c>
      <c r="AA16" s="638">
        <f t="shared" si="14"/>
        <v>0.45539999999999997</v>
      </c>
      <c r="AB16" s="638">
        <f t="shared" si="14"/>
        <v>0.33</v>
      </c>
      <c r="AC16" s="638">
        <f t="shared" si="14"/>
        <v>0</v>
      </c>
      <c r="AD16" s="337">
        <f>IFERROR(SUMPRODUCT(W14:AC14,W16:AC16)/ SUM(W14:AC14), 0)</f>
        <v>0</v>
      </c>
      <c r="AE16" s="495">
        <f>L16*$G$3+U16*$P$3+AD16*$Y$3</f>
        <v>0.50192295517808216</v>
      </c>
    </row>
    <row r="17" spans="1:32" s="144" customFormat="1">
      <c r="B17" s="426"/>
      <c r="C17" s="445"/>
      <c r="D17" s="427" t="s">
        <v>906</v>
      </c>
      <c r="E17" s="329">
        <f>VLOOKUP(E6,'Feed parameters'!$A$2:$M$113,4, FALSE)</f>
        <v>10.89</v>
      </c>
      <c r="F17" s="262">
        <f>VLOOKUP(F6,'Feed parameters'!$A$2:$M$113,4, FALSE)</f>
        <v>1.4821272000000001</v>
      </c>
      <c r="G17" s="262">
        <f>VLOOKUP(G6,FEED_P[[#All],[Feed]:[DE (fraction)]],4, FALSE)</f>
        <v>2.0168999999999997</v>
      </c>
      <c r="H17" s="262">
        <f>VLOOKUP(H6,'Feed parameters'!$A$2:$M$113,4, FALSE)</f>
        <v>1.8039999999999998</v>
      </c>
      <c r="I17" s="262">
        <f>VLOOKUP(I6,'Feed parameters'!$A$2:$M$113,4, FALSE)</f>
        <v>6.0030000000000001</v>
      </c>
      <c r="J17" s="262">
        <f>VLOOKUP(J6,'Feed parameters'!$A$2:$M$113,4, FALSE)</f>
        <v>3</v>
      </c>
      <c r="K17" s="262">
        <f>VLOOKUP(K6,'Feed parameters'!$A$2:$M$113,4, FALSE)</f>
        <v>0</v>
      </c>
      <c r="L17" s="330">
        <f>IFERROR(SUMPRODUCT(E14:K14,E17:K17)/ SUM(E14:K14), 0)</f>
        <v>2.8033320800000001</v>
      </c>
      <c r="M17" s="339" t="s">
        <v>906</v>
      </c>
      <c r="N17" s="638">
        <f t="shared" si="12"/>
        <v>10.89</v>
      </c>
      <c r="O17" s="638">
        <f t="shared" ref="O17:T17" si="15">O10</f>
        <v>1.4821272000000001</v>
      </c>
      <c r="P17" s="638">
        <f t="shared" si="15"/>
        <v>2.0168999999999997</v>
      </c>
      <c r="Q17" s="638">
        <f t="shared" si="15"/>
        <v>1.8039999999999998</v>
      </c>
      <c r="R17" s="638">
        <f t="shared" si="15"/>
        <v>6.0030000000000001</v>
      </c>
      <c r="S17" s="638">
        <f t="shared" si="15"/>
        <v>3</v>
      </c>
      <c r="T17" s="638">
        <f t="shared" si="15"/>
        <v>0</v>
      </c>
      <c r="U17" s="337">
        <f>IFERROR(SUMPRODUCT(N14:T14,N17:T17)/ SUM(N14:T14), 0)</f>
        <v>3.4146311759999999</v>
      </c>
      <c r="V17" s="339" t="s">
        <v>906</v>
      </c>
      <c r="W17" s="638">
        <f t="shared" si="14"/>
        <v>10.89</v>
      </c>
      <c r="X17" s="638">
        <f t="shared" si="14"/>
        <v>1.4821272000000001</v>
      </c>
      <c r="Y17" s="638">
        <f t="shared" si="14"/>
        <v>2.0168999999999997</v>
      </c>
      <c r="Z17" s="638">
        <f t="shared" si="14"/>
        <v>1.8039999999999998</v>
      </c>
      <c r="AA17" s="638">
        <f t="shared" si="14"/>
        <v>6.0030000000000001</v>
      </c>
      <c r="AB17" s="638">
        <f t="shared" si="14"/>
        <v>3</v>
      </c>
      <c r="AC17" s="638">
        <f t="shared" si="14"/>
        <v>0</v>
      </c>
      <c r="AD17" s="337">
        <f>IFERROR(SUMPRODUCT(W14:AC14,W17:AC17)/ SUM(W14:AC14), 0)</f>
        <v>0</v>
      </c>
      <c r="AE17" s="495"/>
    </row>
    <row r="18" spans="1:32" s="144" customFormat="1">
      <c r="B18" s="426"/>
      <c r="C18" s="445"/>
      <c r="D18" s="427" t="s">
        <v>1153</v>
      </c>
      <c r="E18" s="329">
        <f>VLOOKUP(E6,'Feed parameters'!$A$2:$M$113,2, FALSE)</f>
        <v>90</v>
      </c>
      <c r="F18" s="262">
        <f>VLOOKUP(F6,'Feed parameters'!$A$2:$M$113,2, FALSE)</f>
        <v>15</v>
      </c>
      <c r="G18" s="262">
        <f>VLOOKUP(G6,FEED_P[[#All],[Feed]:[DE (fraction)]],2, FALSE)</f>
        <v>24.9</v>
      </c>
      <c r="H18" s="262">
        <f>VLOOKUP(H6,'Feed parameters'!$A$2:$M$113,2, FALSE)</f>
        <v>22</v>
      </c>
      <c r="I18" s="262">
        <f>VLOOKUP(I6,'Feed parameters'!$A$2:$M$113,2, FALSE)</f>
        <v>87</v>
      </c>
      <c r="J18" s="262">
        <f>VLOOKUP(J6,'Feed parameters'!$A$2:$M$113,2, FALSE)</f>
        <v>60</v>
      </c>
      <c r="K18" s="262">
        <f>VLOOKUP(K6,'Feed parameters'!$A$2:$M$113,2, FALSE)</f>
        <v>0</v>
      </c>
      <c r="L18" s="330">
        <f>IFERROR(SUMPRODUCT(E14:K14,E18:K18)/ SUM(E14:K14), 0)</f>
        <v>40.402999999999992</v>
      </c>
      <c r="M18" s="471" t="s">
        <v>1153</v>
      </c>
      <c r="N18" s="638">
        <f t="shared" si="12"/>
        <v>90</v>
      </c>
      <c r="O18" s="638">
        <f t="shared" ref="O18:T18" si="16">O11</f>
        <v>15</v>
      </c>
      <c r="P18" s="638">
        <f t="shared" si="16"/>
        <v>24.9</v>
      </c>
      <c r="Q18" s="638">
        <f t="shared" si="16"/>
        <v>22</v>
      </c>
      <c r="R18" s="638">
        <f t="shared" si="16"/>
        <v>87</v>
      </c>
      <c r="S18" s="638">
        <f t="shared" si="16"/>
        <v>60</v>
      </c>
      <c r="T18" s="638">
        <f t="shared" si="16"/>
        <v>0</v>
      </c>
      <c r="U18" s="337">
        <f>IFERROR(SUMPRODUCT(N14:T14,N18:T18)/ SUM(N14:T14), 0)</f>
        <v>44.780999999999999</v>
      </c>
      <c r="V18" s="471" t="s">
        <v>1153</v>
      </c>
      <c r="W18" s="638">
        <f t="shared" si="14"/>
        <v>90</v>
      </c>
      <c r="X18" s="638">
        <f t="shared" si="14"/>
        <v>15</v>
      </c>
      <c r="Y18" s="638">
        <f t="shared" si="14"/>
        <v>24.9</v>
      </c>
      <c r="Z18" s="638">
        <f t="shared" si="14"/>
        <v>22</v>
      </c>
      <c r="AA18" s="638">
        <f t="shared" si="14"/>
        <v>87</v>
      </c>
      <c r="AB18" s="638">
        <f t="shared" si="14"/>
        <v>60</v>
      </c>
      <c r="AC18" s="638">
        <f t="shared" si="14"/>
        <v>0</v>
      </c>
      <c r="AD18" s="337">
        <f>IFERROR(SUMPRODUCT(W14:AC14,W18:AC18)/ SUM(W14:AC14), 0)</f>
        <v>0</v>
      </c>
      <c r="AE18" s="495">
        <f>L18*$G$3+U18*$P$3+AD18*$Y$3</f>
        <v>42.502041095890405</v>
      </c>
    </row>
    <row r="19" spans="1:32" s="144" customFormat="1">
      <c r="B19" s="426"/>
      <c r="C19" s="445"/>
      <c r="D19" s="427" t="s">
        <v>1171</v>
      </c>
      <c r="E19" s="329">
        <f t="shared" ref="E19:K19" si="17">IFERROR((E14*E18)/SUMPRODUCT($E14:$K14,$E18:$K18), 0)</f>
        <v>0.11137786798010051</v>
      </c>
      <c r="F19" s="262">
        <f t="shared" si="17"/>
        <v>5.5688933990050253E-2</v>
      </c>
      <c r="G19" s="262">
        <f t="shared" si="17"/>
        <v>0.22802762171125909</v>
      </c>
      <c r="H19" s="262">
        <f t="shared" si="17"/>
        <v>2.7225701061802349E-2</v>
      </c>
      <c r="I19" s="262">
        <f t="shared" si="17"/>
        <v>4.3066108952305532E-2</v>
      </c>
      <c r="J19" s="262">
        <f t="shared" si="17"/>
        <v>0.53461376630448243</v>
      </c>
      <c r="K19" s="262">
        <f t="shared" si="17"/>
        <v>0</v>
      </c>
      <c r="L19" s="330"/>
      <c r="M19" s="471" t="s">
        <v>1171</v>
      </c>
      <c r="N19" s="262">
        <f t="shared" ref="N19:T19" si="18">IFERROR(IFERROR((N14*N18)/SUMPRODUCT($N14:$T14,$N18:$T18), 0), 0)</f>
        <v>0.16078247471025658</v>
      </c>
      <c r="O19" s="262">
        <f t="shared" si="18"/>
        <v>2.6797079118376095E-2</v>
      </c>
      <c r="P19" s="262">
        <f t="shared" si="18"/>
        <v>0.10564748442419776</v>
      </c>
      <c r="Q19" s="262">
        <f t="shared" si="18"/>
        <v>0.14738393515106854</v>
      </c>
      <c r="R19" s="262">
        <f t="shared" si="18"/>
        <v>0.29141823541234002</v>
      </c>
      <c r="S19" s="262">
        <f t="shared" si="18"/>
        <v>0.26797079118376099</v>
      </c>
      <c r="T19" s="262">
        <f t="shared" si="18"/>
        <v>0</v>
      </c>
      <c r="U19" s="337"/>
      <c r="V19" s="471" t="s">
        <v>1171</v>
      </c>
      <c r="W19" s="262">
        <f>IFERROR((W14*W18)/SUMPRODUCT($W14:$AC14,$W18:$AC18), 0)</f>
        <v>0</v>
      </c>
      <c r="X19" s="262">
        <f t="shared" ref="X19" si="19">IFERROR((X14*X18)/SUMPRODUCT($W14:$AC14,$W18:$AC18), 0)</f>
        <v>0</v>
      </c>
      <c r="Y19" s="262">
        <f t="shared" ref="Y19" si="20">IFERROR((Y14*Y18)/SUMPRODUCT($W14:$AC14,$W18:$AC18), 0)</f>
        <v>0</v>
      </c>
      <c r="Z19" s="262">
        <f t="shared" ref="Z19" si="21">IFERROR((Z14*Z18)/SUMPRODUCT($W14:$AC14,$W18:$AC18), 0)</f>
        <v>0</v>
      </c>
      <c r="AA19" s="262">
        <f t="shared" ref="AA19" si="22">IFERROR((AA14*AA18)/SUMPRODUCT($W14:$AC14,$W18:$AC18), 0)</f>
        <v>0</v>
      </c>
      <c r="AB19" s="262">
        <f t="shared" ref="AB19" si="23">IFERROR((AB14*AB18)/SUMPRODUCT($W14:$AC14,$W18:$AC18), 0)</f>
        <v>0</v>
      </c>
      <c r="AC19" s="262">
        <f t="shared" ref="AC19" si="24">IFERROR((AC14*AC18)/SUMPRODUCT($W14:$AC14,$W18:$AC18), 0)</f>
        <v>0</v>
      </c>
      <c r="AD19" s="337"/>
      <c r="AE19" s="495"/>
    </row>
    <row r="20" spans="1:32" s="144" customFormat="1">
      <c r="B20" s="426"/>
      <c r="C20" s="445"/>
      <c r="D20" s="427"/>
      <c r="E20" s="329"/>
      <c r="F20" s="262"/>
      <c r="G20" s="262"/>
      <c r="H20" s="262"/>
      <c r="I20" s="262"/>
      <c r="J20" s="262"/>
      <c r="K20" s="262"/>
      <c r="L20" s="330"/>
      <c r="M20" s="471"/>
      <c r="N20" s="184"/>
      <c r="O20" s="184"/>
      <c r="P20" s="184"/>
      <c r="Q20" s="184"/>
      <c r="R20" s="184"/>
      <c r="S20" s="184"/>
      <c r="T20" s="184"/>
      <c r="U20" s="337"/>
      <c r="V20" s="471"/>
      <c r="W20" s="184"/>
      <c r="X20" s="184"/>
      <c r="Y20" s="184"/>
      <c r="Z20" s="184"/>
      <c r="AA20" s="184"/>
      <c r="AB20" s="184"/>
      <c r="AC20" s="184"/>
      <c r="AD20" s="337"/>
      <c r="AE20" s="495"/>
    </row>
    <row r="21" spans="1:32" s="291" customFormat="1">
      <c r="B21" s="428">
        <f>INPUTS!C19</f>
        <v>0</v>
      </c>
      <c r="C21" s="446"/>
      <c r="D21" s="425" t="s">
        <v>1170</v>
      </c>
      <c r="E21" s="327">
        <f>INPUTS!E56</f>
        <v>0</v>
      </c>
      <c r="F21" s="292">
        <f>INPUTS!E57</f>
        <v>0</v>
      </c>
      <c r="G21" s="292">
        <f>INPUTS!E58</f>
        <v>0</v>
      </c>
      <c r="H21" s="292">
        <f>INPUTS!E59</f>
        <v>0</v>
      </c>
      <c r="I21" s="292">
        <f>INPUTS!E60</f>
        <v>0</v>
      </c>
      <c r="J21" s="292">
        <f>INPUTS!E61</f>
        <v>0</v>
      </c>
      <c r="K21" s="292">
        <f>INPUTS!E62</f>
        <v>0</v>
      </c>
      <c r="L21" s="328"/>
      <c r="M21" s="487" t="s">
        <v>1170</v>
      </c>
      <c r="N21" s="292">
        <f>INPUTS!T56</f>
        <v>0</v>
      </c>
      <c r="O21" s="292">
        <f>INPUTS!T57</f>
        <v>0</v>
      </c>
      <c r="P21" s="292">
        <f>INPUTS!T58</f>
        <v>0</v>
      </c>
      <c r="Q21" s="292">
        <f>INPUTS!T59</f>
        <v>0</v>
      </c>
      <c r="R21" s="292">
        <f>INPUTS!T60</f>
        <v>0</v>
      </c>
      <c r="S21" s="292">
        <f>INPUTS!T61</f>
        <v>0</v>
      </c>
      <c r="T21" s="292">
        <f>INPUTS!T62</f>
        <v>0</v>
      </c>
      <c r="U21" s="336"/>
      <c r="V21" s="487" t="s">
        <v>1170</v>
      </c>
      <c r="W21" s="292">
        <f>INPUTS!AI56</f>
        <v>0</v>
      </c>
      <c r="X21" s="292">
        <f>INPUTS!AI57</f>
        <v>0</v>
      </c>
      <c r="Y21" s="292">
        <f>INPUTS!AI58</f>
        <v>0</v>
      </c>
      <c r="Z21" s="292">
        <f>INPUTS!AI59</f>
        <v>0</v>
      </c>
      <c r="AA21" s="292">
        <f>INPUTS!AI60</f>
        <v>0</v>
      </c>
      <c r="AB21" s="292">
        <f>INPUTS!AI61</f>
        <v>0</v>
      </c>
      <c r="AC21" s="292">
        <f>INPUTS!AI62</f>
        <v>0</v>
      </c>
      <c r="AD21" s="336"/>
      <c r="AE21" s="494"/>
    </row>
    <row r="22" spans="1:32" s="144" customFormat="1">
      <c r="B22" s="429"/>
      <c r="C22" s="447"/>
      <c r="D22" s="427" t="s">
        <v>815</v>
      </c>
      <c r="E22" s="331">
        <f>VLOOKUP(E6,'Feed parameters'!$A$2:$M$113,6, FALSE)</f>
        <v>14.4</v>
      </c>
      <c r="F22" s="184">
        <f>VLOOKUP(F6,'Feed parameters'!$A$2:$M$113,6, FALSE)</f>
        <v>1.65</v>
      </c>
      <c r="G22" s="184">
        <f>VLOOKUP(G6,FEED_P[[#All],[Feed]:[DE (fraction)]],6, FALSE)</f>
        <v>2.5148999999999999</v>
      </c>
      <c r="H22" s="184">
        <f>VLOOKUP(H6,'Feed parameters'!$A$2:$M$113,6, FALSE)</f>
        <v>1.21</v>
      </c>
      <c r="I22" s="184">
        <f>VLOOKUP(I6,'Feed parameters'!$A$2:$M$113,6, FALSE)</f>
        <v>3.3930000000000002</v>
      </c>
      <c r="J22" s="184">
        <f>VLOOKUP(J6,'Feed parameters'!$A$2:$M$113,6, FALSE)</f>
        <v>3.6</v>
      </c>
      <c r="K22" s="184">
        <f>VLOOKUP(K6,'Feed parameters'!$A$2:$M$113,6, FALSE)</f>
        <v>0</v>
      </c>
      <c r="L22" s="332">
        <f>IFERROR(SUMPRODUCT(E21:K21,E22:K22)/ SUM(E21:K21), 0)</f>
        <v>0</v>
      </c>
      <c r="M22" s="339" t="s">
        <v>815</v>
      </c>
      <c r="N22" s="638">
        <f>N15</f>
        <v>14.4</v>
      </c>
      <c r="O22" s="638">
        <f t="shared" ref="O22:T22" si="25">O15</f>
        <v>1.65</v>
      </c>
      <c r="P22" s="638">
        <f t="shared" si="25"/>
        <v>2.5148999999999999</v>
      </c>
      <c r="Q22" s="638">
        <f t="shared" si="25"/>
        <v>1.21</v>
      </c>
      <c r="R22" s="638">
        <f t="shared" si="25"/>
        <v>3.3930000000000002</v>
      </c>
      <c r="S22" s="638">
        <f t="shared" si="25"/>
        <v>3.6</v>
      </c>
      <c r="T22" s="638">
        <f t="shared" si="25"/>
        <v>0</v>
      </c>
      <c r="U22" s="338">
        <f>IFERROR(SUMPRODUCT(N21:T21,N22:T22)/ SUM(N21:T21), 0)</f>
        <v>0</v>
      </c>
      <c r="V22" s="339" t="s">
        <v>815</v>
      </c>
      <c r="W22" s="638">
        <f>W15</f>
        <v>14.4</v>
      </c>
      <c r="X22" s="638">
        <f t="shared" ref="X22:AC22" si="26">X15</f>
        <v>1.65</v>
      </c>
      <c r="Y22" s="638">
        <f t="shared" si="26"/>
        <v>2.5148999999999999</v>
      </c>
      <c r="Z22" s="638">
        <f t="shared" si="26"/>
        <v>1.21</v>
      </c>
      <c r="AA22" s="638">
        <f t="shared" si="26"/>
        <v>3.3930000000000002</v>
      </c>
      <c r="AB22" s="638">
        <f t="shared" si="26"/>
        <v>3.6</v>
      </c>
      <c r="AC22" s="638">
        <f t="shared" si="26"/>
        <v>0</v>
      </c>
      <c r="AD22" s="338">
        <f>IFERROR(SUMPRODUCT(W21:AC21,W22:AC22)/ SUM(W21:AC21), 0)</f>
        <v>0</v>
      </c>
      <c r="AE22" s="495">
        <f>L22*$G$3+U22*$P$3+AD22*$Y$3</f>
        <v>0</v>
      </c>
      <c r="AF22" s="407" t="e">
        <f>L22*$G$3/(L25*0.01)+U22*$P$3/(U25*0.01)+AD22*$Y$3/(AD25*0.01)</f>
        <v>#DIV/0!</v>
      </c>
    </row>
    <row r="23" spans="1:32" s="144" customFormat="1">
      <c r="B23" s="429"/>
      <c r="C23" s="447"/>
      <c r="D23" s="427" t="s">
        <v>816</v>
      </c>
      <c r="E23" s="331">
        <f>VLOOKUP(E6,'Feed parameters'!$A$2:$M$113,7, FALSE)</f>
        <v>0.79859999999999998</v>
      </c>
      <c r="F23" s="184">
        <f>VLOOKUP(F6,'Feed parameters'!$A$2:$M$113,7, FALSE)</f>
        <v>0.65213596800000007</v>
      </c>
      <c r="G23" s="184">
        <f>VLOOKUP(G6,FEED_P[[#All],[Feed]:[DE (fraction)]],7, FALSE)</f>
        <v>0.53459999999999996</v>
      </c>
      <c r="H23" s="184">
        <f>VLOOKUP(H6,'Feed parameters'!$A$2:$M$113,7, FALSE)</f>
        <v>0.5411999999999999</v>
      </c>
      <c r="I23" s="184">
        <f>VLOOKUP(I6,'Feed parameters'!$A$2:$M$113,7, FALSE)</f>
        <v>0.45539999999999997</v>
      </c>
      <c r="J23" s="184">
        <f>VLOOKUP(J6,'Feed parameters'!$A$2:$M$113,7, FALSE)</f>
        <v>0.33</v>
      </c>
      <c r="K23" s="184">
        <f>VLOOKUP(K6,'Feed parameters'!$A$2:$M$113,7, FALSE)</f>
        <v>0</v>
      </c>
      <c r="L23" s="332">
        <f>IFERROR(SUMPRODUCT(E21:K21,E23:K23)/ SUM(E21:K21), 0)</f>
        <v>0</v>
      </c>
      <c r="M23" s="339" t="s">
        <v>816</v>
      </c>
      <c r="N23" s="638">
        <f t="shared" ref="N23" si="27">N16</f>
        <v>0.79859999999999998</v>
      </c>
      <c r="O23" s="638">
        <f t="shared" ref="O23:T23" si="28">O16</f>
        <v>0.65213596800000007</v>
      </c>
      <c r="P23" s="638">
        <f t="shared" si="28"/>
        <v>0.53459999999999996</v>
      </c>
      <c r="Q23" s="638">
        <f t="shared" si="28"/>
        <v>0.5411999999999999</v>
      </c>
      <c r="R23" s="638">
        <f t="shared" si="28"/>
        <v>0.45539999999999997</v>
      </c>
      <c r="S23" s="638">
        <f t="shared" si="28"/>
        <v>0.33</v>
      </c>
      <c r="T23" s="638">
        <f t="shared" si="28"/>
        <v>0</v>
      </c>
      <c r="U23" s="338">
        <f>IFERROR(SUMPRODUCT(N21:T21,N23:T23)/ SUM(N21:T21), 0)</f>
        <v>0</v>
      </c>
      <c r="V23" s="339" t="s">
        <v>816</v>
      </c>
      <c r="W23" s="638">
        <f t="shared" ref="W23:AC25" si="29">W16</f>
        <v>0.79859999999999998</v>
      </c>
      <c r="X23" s="638">
        <f t="shared" si="29"/>
        <v>0.65213596800000007</v>
      </c>
      <c r="Y23" s="638">
        <f t="shared" si="29"/>
        <v>0.53459999999999996</v>
      </c>
      <c r="Z23" s="638">
        <f t="shared" si="29"/>
        <v>0.5411999999999999</v>
      </c>
      <c r="AA23" s="638">
        <f t="shared" si="29"/>
        <v>0.45539999999999997</v>
      </c>
      <c r="AB23" s="638">
        <f t="shared" si="29"/>
        <v>0.33</v>
      </c>
      <c r="AC23" s="638">
        <f t="shared" si="29"/>
        <v>0</v>
      </c>
      <c r="AD23" s="338">
        <f>IFERROR(SUMPRODUCT(W21:AC21,W23:AC23)/ SUM(W21:AC21), 0)</f>
        <v>0</v>
      </c>
      <c r="AE23" s="495">
        <f>L23*$G$3+U23*$P$3+AD23*$Y$3</f>
        <v>0</v>
      </c>
    </row>
    <row r="24" spans="1:32" s="144" customFormat="1">
      <c r="B24" s="426"/>
      <c r="C24" s="445"/>
      <c r="D24" s="427" t="s">
        <v>906</v>
      </c>
      <c r="E24" s="329">
        <f>VLOOKUP(E6,'Feed parameters'!$A$2:$M$113,4, FALSE)</f>
        <v>10.89</v>
      </c>
      <c r="F24" s="262">
        <f>VLOOKUP(F6,'Feed parameters'!$A$2:$M$113,4, FALSE)</f>
        <v>1.4821272000000001</v>
      </c>
      <c r="G24" s="262">
        <f>VLOOKUP(G6,FEED_P[[#All],[Feed]:[DE (fraction)]],4, FALSE)</f>
        <v>2.0168999999999997</v>
      </c>
      <c r="H24" s="262">
        <f>VLOOKUP(H6,'Feed parameters'!$A$2:$M$113,4, FALSE)</f>
        <v>1.8039999999999998</v>
      </c>
      <c r="I24" s="262">
        <f>VLOOKUP(I6,'Feed parameters'!$A$2:$M$113,4, FALSE)</f>
        <v>6.0030000000000001</v>
      </c>
      <c r="J24" s="262">
        <f>VLOOKUP(J6,'Feed parameters'!$A$2:$M$113,4, FALSE)</f>
        <v>3</v>
      </c>
      <c r="K24" s="262">
        <f>VLOOKUP(K6,'Feed parameters'!$A$2:$M$113,4, FALSE)</f>
        <v>0</v>
      </c>
      <c r="L24" s="330">
        <f>IFERROR(SUMPRODUCT(E21:K21,E24:K24)/ SUM(E21:K21), 0)</f>
        <v>0</v>
      </c>
      <c r="M24" s="339" t="s">
        <v>906</v>
      </c>
      <c r="N24" s="638">
        <f t="shared" ref="N24" si="30">N17</f>
        <v>10.89</v>
      </c>
      <c r="O24" s="638">
        <f t="shared" ref="O24:T24" si="31">O17</f>
        <v>1.4821272000000001</v>
      </c>
      <c r="P24" s="638">
        <f t="shared" si="31"/>
        <v>2.0168999999999997</v>
      </c>
      <c r="Q24" s="638">
        <f t="shared" si="31"/>
        <v>1.8039999999999998</v>
      </c>
      <c r="R24" s="638">
        <f t="shared" si="31"/>
        <v>6.0030000000000001</v>
      </c>
      <c r="S24" s="638">
        <f t="shared" si="31"/>
        <v>3</v>
      </c>
      <c r="T24" s="638">
        <f t="shared" si="31"/>
        <v>0</v>
      </c>
      <c r="U24" s="337">
        <f>IFERROR(SUMPRODUCT(N21:T21,N24:T24)/ SUM(N21:T21), 0)</f>
        <v>0</v>
      </c>
      <c r="V24" s="339" t="s">
        <v>906</v>
      </c>
      <c r="W24" s="638">
        <f t="shared" si="29"/>
        <v>10.89</v>
      </c>
      <c r="X24" s="638">
        <f t="shared" si="29"/>
        <v>1.4821272000000001</v>
      </c>
      <c r="Y24" s="638">
        <f t="shared" si="29"/>
        <v>2.0168999999999997</v>
      </c>
      <c r="Z24" s="638">
        <f t="shared" si="29"/>
        <v>1.8039999999999998</v>
      </c>
      <c r="AA24" s="638">
        <f t="shared" si="29"/>
        <v>6.0030000000000001</v>
      </c>
      <c r="AB24" s="638">
        <f t="shared" si="29"/>
        <v>3</v>
      </c>
      <c r="AC24" s="638">
        <f t="shared" si="29"/>
        <v>0</v>
      </c>
      <c r="AD24" s="337">
        <f>IFERROR(SUMPRODUCT(W21:AC21,W24:AC24)/ SUM(W21:AC21), 0)</f>
        <v>0</v>
      </c>
      <c r="AE24" s="495"/>
    </row>
    <row r="25" spans="1:32" s="144" customFormat="1">
      <c r="B25" s="426"/>
      <c r="C25" s="445"/>
      <c r="D25" s="427" t="s">
        <v>1153</v>
      </c>
      <c r="E25" s="329">
        <f>VLOOKUP(E6,'Feed parameters'!$A$2:$M$113,2, FALSE)</f>
        <v>90</v>
      </c>
      <c r="F25" s="262">
        <f>VLOOKUP(F6,'Feed parameters'!$A$2:$M$113,2, FALSE)</f>
        <v>15</v>
      </c>
      <c r="G25" s="262">
        <f>VLOOKUP(G6,FEED_P[[#All],[Feed]:[DE (fraction)]],2, FALSE)</f>
        <v>24.9</v>
      </c>
      <c r="H25" s="262">
        <f>VLOOKUP(H6,'Feed parameters'!$A$2:$M$113,2, FALSE)</f>
        <v>22</v>
      </c>
      <c r="I25" s="262">
        <f>VLOOKUP(I6,'Feed parameters'!$A$2:$M$113,2, FALSE)</f>
        <v>87</v>
      </c>
      <c r="J25" s="262">
        <f>VLOOKUP(J6,'Feed parameters'!$A$2:$M$113,2, FALSE)</f>
        <v>60</v>
      </c>
      <c r="K25" s="262">
        <f>VLOOKUP(K6,'Feed parameters'!$A$2:$M$113,2, FALSE)</f>
        <v>0</v>
      </c>
      <c r="L25" s="330">
        <f>IFERROR(SUMPRODUCT(E21:K21,E25:K25)/ SUM(E21:K21), 0)</f>
        <v>0</v>
      </c>
      <c r="M25" s="471" t="s">
        <v>1153</v>
      </c>
      <c r="N25" s="638">
        <f t="shared" ref="N25" si="32">N18</f>
        <v>90</v>
      </c>
      <c r="O25" s="638">
        <f t="shared" ref="O25:T25" si="33">O18</f>
        <v>15</v>
      </c>
      <c r="P25" s="638">
        <f t="shared" si="33"/>
        <v>24.9</v>
      </c>
      <c r="Q25" s="638">
        <f t="shared" si="33"/>
        <v>22</v>
      </c>
      <c r="R25" s="638">
        <f t="shared" si="33"/>
        <v>87</v>
      </c>
      <c r="S25" s="638">
        <f t="shared" si="33"/>
        <v>60</v>
      </c>
      <c r="T25" s="638">
        <f t="shared" si="33"/>
        <v>0</v>
      </c>
      <c r="U25" s="337">
        <f>IFERROR(SUMPRODUCT(N21:T21,N25:T25)/ SUM(N21:T21), 0)</f>
        <v>0</v>
      </c>
      <c r="V25" s="471" t="s">
        <v>1153</v>
      </c>
      <c r="W25" s="638">
        <f t="shared" si="29"/>
        <v>90</v>
      </c>
      <c r="X25" s="638">
        <f t="shared" si="29"/>
        <v>15</v>
      </c>
      <c r="Y25" s="638">
        <f t="shared" si="29"/>
        <v>24.9</v>
      </c>
      <c r="Z25" s="638">
        <f t="shared" si="29"/>
        <v>22</v>
      </c>
      <c r="AA25" s="638">
        <f t="shared" si="29"/>
        <v>87</v>
      </c>
      <c r="AB25" s="638">
        <f t="shared" si="29"/>
        <v>60</v>
      </c>
      <c r="AC25" s="638">
        <f t="shared" si="29"/>
        <v>0</v>
      </c>
      <c r="AD25" s="337">
        <f>IFERROR(SUMPRODUCT(W21:AC21,W25:AC25)/ SUM(W21:AC21), 0)</f>
        <v>0</v>
      </c>
      <c r="AE25" s="495">
        <f>L25*$G$3+U25*$P$3+AD25*$Y$3</f>
        <v>0</v>
      </c>
    </row>
    <row r="26" spans="1:32" s="144" customFormat="1">
      <c r="B26" s="426"/>
      <c r="C26" s="445"/>
      <c r="D26" s="427" t="s">
        <v>1171</v>
      </c>
      <c r="E26" s="329">
        <f t="shared" ref="E26:K26" si="34">IFERROR((E21*E25)/SUMPRODUCT($E21:$K21,$E25:$K25), 0)</f>
        <v>0</v>
      </c>
      <c r="F26" s="262">
        <f t="shared" si="34"/>
        <v>0</v>
      </c>
      <c r="G26" s="262">
        <f t="shared" si="34"/>
        <v>0</v>
      </c>
      <c r="H26" s="262">
        <f t="shared" si="34"/>
        <v>0</v>
      </c>
      <c r="I26" s="262">
        <f t="shared" si="34"/>
        <v>0</v>
      </c>
      <c r="J26" s="262">
        <f t="shared" si="34"/>
        <v>0</v>
      </c>
      <c r="K26" s="262">
        <f t="shared" si="34"/>
        <v>0</v>
      </c>
      <c r="L26" s="330"/>
      <c r="M26" s="471" t="s">
        <v>1171</v>
      </c>
      <c r="N26" s="262">
        <f t="shared" ref="N26:T26" si="35">IFERROR(IFERROR((N21*N25)/SUMPRODUCT($N21:$T21,$N25:$T25), 0), 0)</f>
        <v>0</v>
      </c>
      <c r="O26" s="262">
        <f t="shared" si="35"/>
        <v>0</v>
      </c>
      <c r="P26" s="262">
        <f t="shared" si="35"/>
        <v>0</v>
      </c>
      <c r="Q26" s="262">
        <f t="shared" si="35"/>
        <v>0</v>
      </c>
      <c r="R26" s="262">
        <f t="shared" si="35"/>
        <v>0</v>
      </c>
      <c r="S26" s="262">
        <f t="shared" si="35"/>
        <v>0</v>
      </c>
      <c r="T26" s="262">
        <f t="shared" si="35"/>
        <v>0</v>
      </c>
      <c r="U26" s="337"/>
      <c r="V26" s="471" t="s">
        <v>1171</v>
      </c>
      <c r="W26" s="262">
        <f>IFERROR((W21*W25)/SUMPRODUCT($W21:$AC21,$W25:$AC25), 0)</f>
        <v>0</v>
      </c>
      <c r="X26" s="262">
        <f t="shared" ref="X26" si="36">IFERROR((X21*X25)/SUMPRODUCT($W21:$AC21,$W25:$AC25), 0)</f>
        <v>0</v>
      </c>
      <c r="Y26" s="262">
        <f t="shared" ref="Y26" si="37">IFERROR((Y21*Y25)/SUMPRODUCT($W21:$AC21,$W25:$AC25), 0)</f>
        <v>0</v>
      </c>
      <c r="Z26" s="262">
        <f t="shared" ref="Z26" si="38">IFERROR((Z21*Z25)/SUMPRODUCT($W21:$AC21,$W25:$AC25), 0)</f>
        <v>0</v>
      </c>
      <c r="AA26" s="262">
        <f t="shared" ref="AA26" si="39">IFERROR((AA21*AA25)/SUMPRODUCT($W21:$AC21,$W25:$AC25), 0)</f>
        <v>0</v>
      </c>
      <c r="AB26" s="262">
        <f t="shared" ref="AB26" si="40">IFERROR((AB21*AB25)/SUMPRODUCT($W21:$AC21,$W25:$AC25), 0)</f>
        <v>0</v>
      </c>
      <c r="AC26" s="262">
        <f t="shared" ref="AC26" si="41">IFERROR((AC21*AC25)/SUMPRODUCT($W21:$AC21,$W25:$AC25), 0)</f>
        <v>0</v>
      </c>
      <c r="AD26" s="337"/>
      <c r="AE26" s="495"/>
    </row>
    <row r="27" spans="1:32" s="144" customFormat="1">
      <c r="B27" s="426"/>
      <c r="C27" s="445"/>
      <c r="D27" s="427"/>
      <c r="E27" s="329"/>
      <c r="F27" s="262"/>
      <c r="G27" s="262"/>
      <c r="H27" s="262"/>
      <c r="I27" s="262"/>
      <c r="J27" s="262"/>
      <c r="K27" s="262"/>
      <c r="L27" s="330"/>
      <c r="M27" s="339"/>
      <c r="N27" s="184"/>
      <c r="O27" s="184"/>
      <c r="P27" s="184"/>
      <c r="Q27" s="184"/>
      <c r="R27" s="184"/>
      <c r="S27" s="184"/>
      <c r="T27" s="184"/>
      <c r="U27" s="337"/>
      <c r="V27" s="339"/>
      <c r="W27" s="184"/>
      <c r="X27" s="184"/>
      <c r="Y27" s="184"/>
      <c r="Z27" s="184"/>
      <c r="AA27" s="184"/>
      <c r="AB27" s="184"/>
      <c r="AC27" s="184"/>
      <c r="AD27" s="337"/>
      <c r="AE27" s="495"/>
    </row>
    <row r="28" spans="1:32" s="291" customFormat="1">
      <c r="B28" s="428">
        <f>INPUTS!C20</f>
        <v>0</v>
      </c>
      <c r="C28" s="446"/>
      <c r="D28" s="425" t="s">
        <v>1170</v>
      </c>
      <c r="E28" s="327">
        <f>INPUTS!F56</f>
        <v>0</v>
      </c>
      <c r="F28" s="292">
        <f>INPUTS!F57</f>
        <v>0</v>
      </c>
      <c r="G28" s="292">
        <f>INPUTS!F58</f>
        <v>0</v>
      </c>
      <c r="H28" s="292">
        <f>INPUTS!F59</f>
        <v>0</v>
      </c>
      <c r="I28" s="292">
        <f>INPUTS!F60</f>
        <v>0</v>
      </c>
      <c r="J28" s="292">
        <f>INPUTS!F61</f>
        <v>0</v>
      </c>
      <c r="K28" s="292">
        <f>INPUTS!F62</f>
        <v>0</v>
      </c>
      <c r="L28" s="328"/>
      <c r="M28" s="487" t="s">
        <v>1170</v>
      </c>
      <c r="N28" s="292">
        <f>INPUTS!U56</f>
        <v>0</v>
      </c>
      <c r="O28" s="292">
        <f>INPUTS!U57</f>
        <v>0</v>
      </c>
      <c r="P28" s="292">
        <f>INPUTS!U58</f>
        <v>0</v>
      </c>
      <c r="Q28" s="292">
        <f>INPUTS!U59</f>
        <v>0</v>
      </c>
      <c r="R28" s="292">
        <f>INPUTS!U60</f>
        <v>0</v>
      </c>
      <c r="S28" s="292">
        <f>INPUTS!U61</f>
        <v>0</v>
      </c>
      <c r="T28" s="292">
        <f>INPUTS!U62</f>
        <v>0</v>
      </c>
      <c r="U28" s="336"/>
      <c r="V28" s="487" t="s">
        <v>1170</v>
      </c>
      <c r="W28" s="292">
        <f>INPUTS!AJ56</f>
        <v>0</v>
      </c>
      <c r="X28" s="292">
        <f>INPUTS!AJ57</f>
        <v>0</v>
      </c>
      <c r="Y28" s="292">
        <f>INPUTS!AJ58</f>
        <v>0</v>
      </c>
      <c r="Z28" s="292">
        <f>INPUTS!AJ59</f>
        <v>0</v>
      </c>
      <c r="AA28" s="292">
        <f>INPUTS!AJ60</f>
        <v>0</v>
      </c>
      <c r="AB28" s="292">
        <f>INPUTS!AJ61</f>
        <v>0</v>
      </c>
      <c r="AC28" s="292">
        <f>INPUTS!AJ62</f>
        <v>0</v>
      </c>
      <c r="AD28" s="336"/>
      <c r="AE28" s="494"/>
    </row>
    <row r="29" spans="1:32" s="144" customFormat="1">
      <c r="B29" s="429"/>
      <c r="C29" s="447"/>
      <c r="D29" s="427" t="s">
        <v>815</v>
      </c>
      <c r="E29" s="331">
        <f>VLOOKUP(E6,'Feed parameters'!$A$2:$M$113,6, FALSE)</f>
        <v>14.4</v>
      </c>
      <c r="F29" s="184">
        <f>VLOOKUP(F6,'Feed parameters'!$A$2:$M$113,6, FALSE)</f>
        <v>1.65</v>
      </c>
      <c r="G29" s="184">
        <f>VLOOKUP(G6,FEED_P[[#All],[Feed]:[DE (fraction)]],6, FALSE)</f>
        <v>2.5148999999999999</v>
      </c>
      <c r="H29" s="184">
        <f>VLOOKUP(H6,'Feed parameters'!$A$2:$M$113,6, FALSE)</f>
        <v>1.21</v>
      </c>
      <c r="I29" s="184">
        <f>VLOOKUP(I6,'Feed parameters'!$A$2:$M$113,6, FALSE)</f>
        <v>3.3930000000000002</v>
      </c>
      <c r="J29" s="184">
        <f>VLOOKUP(J6,'Feed parameters'!$A$2:$M$113,6, FALSE)</f>
        <v>3.6</v>
      </c>
      <c r="K29" s="184">
        <f>VLOOKUP(K6,'Feed parameters'!$A$2:$M$113,6, FALSE)</f>
        <v>0</v>
      </c>
      <c r="L29" s="332">
        <f>IFERROR(SUMPRODUCT(E28:K28,E29:K29)/ SUM(E28:K28), 0)</f>
        <v>0</v>
      </c>
      <c r="M29" s="339" t="s">
        <v>815</v>
      </c>
      <c r="N29" s="638">
        <f>N22</f>
        <v>14.4</v>
      </c>
      <c r="O29" s="638">
        <f t="shared" ref="O29:T29" si="42">O22</f>
        <v>1.65</v>
      </c>
      <c r="P29" s="638">
        <f t="shared" si="42"/>
        <v>2.5148999999999999</v>
      </c>
      <c r="Q29" s="638">
        <f t="shared" si="42"/>
        <v>1.21</v>
      </c>
      <c r="R29" s="638">
        <f t="shared" si="42"/>
        <v>3.3930000000000002</v>
      </c>
      <c r="S29" s="638">
        <f t="shared" si="42"/>
        <v>3.6</v>
      </c>
      <c r="T29" s="638">
        <f t="shared" si="42"/>
        <v>0</v>
      </c>
      <c r="U29" s="338">
        <f>IFERROR(SUMPRODUCT(N28:T28,N29:T29)/ SUM(N28:T28), 0)</f>
        <v>0</v>
      </c>
      <c r="V29" s="339" t="s">
        <v>815</v>
      </c>
      <c r="W29" s="638">
        <f>W22</f>
        <v>14.4</v>
      </c>
      <c r="X29" s="638">
        <f t="shared" ref="X29:AC29" si="43">X22</f>
        <v>1.65</v>
      </c>
      <c r="Y29" s="638">
        <f t="shared" si="43"/>
        <v>2.5148999999999999</v>
      </c>
      <c r="Z29" s="638">
        <f t="shared" si="43"/>
        <v>1.21</v>
      </c>
      <c r="AA29" s="638">
        <f t="shared" si="43"/>
        <v>3.3930000000000002</v>
      </c>
      <c r="AB29" s="638">
        <f t="shared" si="43"/>
        <v>3.6</v>
      </c>
      <c r="AC29" s="638">
        <f t="shared" si="43"/>
        <v>0</v>
      </c>
      <c r="AD29" s="338">
        <f>IFERROR(SUMPRODUCT(W28:AC28,W29:AC29)/ SUM(W28:AC28), 0)</f>
        <v>0</v>
      </c>
      <c r="AE29" s="495">
        <f>L29*$G$3+U29*$P$3+AD29*$Y$3</f>
        <v>0</v>
      </c>
      <c r="AF29" s="407" t="e">
        <f>L29*$G$3/(L32*0.01)+U29*$P$3/(U32*0.01)+AD29*$Y$3/(AD32*0.01)</f>
        <v>#DIV/0!</v>
      </c>
    </row>
    <row r="30" spans="1:32">
      <c r="B30" s="430"/>
      <c r="C30" s="448"/>
      <c r="D30" s="427" t="s">
        <v>816</v>
      </c>
      <c r="E30" s="400">
        <f>VLOOKUP(E6,'Feed parameters'!$A$2:$M$113,7, FALSE)</f>
        <v>0.79859999999999998</v>
      </c>
      <c r="F30" s="39">
        <f>VLOOKUP(F6,'Feed parameters'!$A$2:$M$113,7, FALSE)</f>
        <v>0.65213596800000007</v>
      </c>
      <c r="G30" s="39">
        <f>VLOOKUP(G6,FEED_P[[#All],[Feed]:[DE (fraction)]],7, FALSE)</f>
        <v>0.53459999999999996</v>
      </c>
      <c r="H30" s="39">
        <f>VLOOKUP(H6,'Feed parameters'!$A$2:$M$113,7, FALSE)</f>
        <v>0.5411999999999999</v>
      </c>
      <c r="I30" s="39">
        <f>VLOOKUP(I6,'Feed parameters'!$A$2:$M$113,7, FALSE)</f>
        <v>0.45539999999999997</v>
      </c>
      <c r="J30" s="39">
        <f>VLOOKUP(J6,'Feed parameters'!$A$2:$M$113,7, FALSE)</f>
        <v>0.33</v>
      </c>
      <c r="K30" s="39">
        <f>VLOOKUP(K6,'Feed parameters'!$A$2:$M$113,7, FALSE)</f>
        <v>0</v>
      </c>
      <c r="L30" s="921">
        <f>IFERROR(SUMPRODUCT(E28:K28,E30:K30)/ SUM(E28:K28), 0)</f>
        <v>0</v>
      </c>
      <c r="M30" s="339" t="s">
        <v>816</v>
      </c>
      <c r="N30" s="638">
        <f t="shared" ref="N30" si="44">N23</f>
        <v>0.79859999999999998</v>
      </c>
      <c r="O30" s="638">
        <f t="shared" ref="O30:T30" si="45">O23</f>
        <v>0.65213596800000007</v>
      </c>
      <c r="P30" s="638">
        <f t="shared" si="45"/>
        <v>0.53459999999999996</v>
      </c>
      <c r="Q30" s="638">
        <f t="shared" si="45"/>
        <v>0.5411999999999999</v>
      </c>
      <c r="R30" s="638">
        <f t="shared" si="45"/>
        <v>0.45539999999999997</v>
      </c>
      <c r="S30" s="638">
        <f t="shared" si="45"/>
        <v>0.33</v>
      </c>
      <c r="T30" s="638">
        <f t="shared" si="45"/>
        <v>0</v>
      </c>
      <c r="U30" s="338">
        <f>IFERROR(SUMPRODUCT(N28:T28,N30:T30)/ SUM(N28:T28), 0)</f>
        <v>0</v>
      </c>
      <c r="V30" s="339" t="s">
        <v>816</v>
      </c>
      <c r="W30" s="638">
        <f t="shared" ref="W30:AC32" si="46">W23</f>
        <v>0.79859999999999998</v>
      </c>
      <c r="X30" s="638">
        <f t="shared" si="46"/>
        <v>0.65213596800000007</v>
      </c>
      <c r="Y30" s="638">
        <f t="shared" si="46"/>
        <v>0.53459999999999996</v>
      </c>
      <c r="Z30" s="638">
        <f t="shared" si="46"/>
        <v>0.5411999999999999</v>
      </c>
      <c r="AA30" s="638">
        <f t="shared" si="46"/>
        <v>0.45539999999999997</v>
      </c>
      <c r="AB30" s="638">
        <f t="shared" si="46"/>
        <v>0.33</v>
      </c>
      <c r="AC30" s="638">
        <f t="shared" si="46"/>
        <v>0</v>
      </c>
      <c r="AD30" s="338">
        <f>IFERROR(SUMPRODUCT(W28:AC28,W30:AC30)/ SUM(W28:AC28), 0)</f>
        <v>0</v>
      </c>
      <c r="AE30" s="495">
        <f>L30*$G$3+U30*$P$3+AD30*$Y$3</f>
        <v>0</v>
      </c>
      <c r="AF30" s="144"/>
    </row>
    <row r="31" spans="1:32">
      <c r="A31" s="262"/>
      <c r="B31" s="431"/>
      <c r="C31" s="449"/>
      <c r="D31" s="427" t="s">
        <v>906</v>
      </c>
      <c r="E31" s="329">
        <f>VLOOKUP(E6,'Feed parameters'!$A$2:$M$113,4, FALSE)</f>
        <v>10.89</v>
      </c>
      <c r="F31" s="262">
        <f>VLOOKUP(F6,'Feed parameters'!$A$2:$M$113,4, FALSE)</f>
        <v>1.4821272000000001</v>
      </c>
      <c r="G31" s="262">
        <f>VLOOKUP(G6,FEED_P[[#All],[Feed]:[DE (fraction)]],4, FALSE)</f>
        <v>2.0168999999999997</v>
      </c>
      <c r="H31" s="262">
        <f>VLOOKUP(H6,'Feed parameters'!$A$2:$M$113,4, FALSE)</f>
        <v>1.8039999999999998</v>
      </c>
      <c r="I31" s="262">
        <f>VLOOKUP(I6,'Feed parameters'!$A$2:$M$113,4, FALSE)</f>
        <v>6.0030000000000001</v>
      </c>
      <c r="J31" s="262">
        <f>VLOOKUP(J6,'Feed parameters'!$A$2:$M$113,4, FALSE)</f>
        <v>3</v>
      </c>
      <c r="K31" s="262">
        <f>VLOOKUP(K6,'Feed parameters'!$A$2:$M$113,4, FALSE)</f>
        <v>0</v>
      </c>
      <c r="L31" s="337">
        <f>IFERROR(SUMPRODUCT(E28:K28,E31:K31)/ SUM(E28:K28), 0)</f>
        <v>0</v>
      </c>
      <c r="M31" s="339" t="s">
        <v>906</v>
      </c>
      <c r="N31" s="638">
        <f t="shared" ref="N31" si="47">N24</f>
        <v>10.89</v>
      </c>
      <c r="O31" s="638">
        <f t="shared" ref="O31:T31" si="48">O24</f>
        <v>1.4821272000000001</v>
      </c>
      <c r="P31" s="638">
        <f t="shared" si="48"/>
        <v>2.0168999999999997</v>
      </c>
      <c r="Q31" s="638">
        <f t="shared" si="48"/>
        <v>1.8039999999999998</v>
      </c>
      <c r="R31" s="638">
        <f t="shared" si="48"/>
        <v>6.0030000000000001</v>
      </c>
      <c r="S31" s="638">
        <f t="shared" si="48"/>
        <v>3</v>
      </c>
      <c r="T31" s="638">
        <f t="shared" si="48"/>
        <v>0</v>
      </c>
      <c r="U31" s="330">
        <f>IFERROR(SUMPRODUCT(N28:T28,N31:T31)/ SUM(N28:T28), 0)</f>
        <v>0</v>
      </c>
      <c r="V31" s="339" t="s">
        <v>906</v>
      </c>
      <c r="W31" s="638">
        <f t="shared" si="46"/>
        <v>10.89</v>
      </c>
      <c r="X31" s="638">
        <f t="shared" si="46"/>
        <v>1.4821272000000001</v>
      </c>
      <c r="Y31" s="638">
        <f t="shared" si="46"/>
        <v>2.0168999999999997</v>
      </c>
      <c r="Z31" s="638">
        <f t="shared" si="46"/>
        <v>1.8039999999999998</v>
      </c>
      <c r="AA31" s="638">
        <f t="shared" si="46"/>
        <v>6.0030000000000001</v>
      </c>
      <c r="AB31" s="638">
        <f t="shared" si="46"/>
        <v>3</v>
      </c>
      <c r="AC31" s="638">
        <f t="shared" si="46"/>
        <v>0</v>
      </c>
      <c r="AD31" s="330">
        <f>IFERROR(SUMPRODUCT(W28:AC28,W31:AC31)/ SUM(W28:AC28), 0)</f>
        <v>0</v>
      </c>
      <c r="AE31" s="495"/>
      <c r="AF31" s="144"/>
    </row>
    <row r="32" spans="1:32" s="144" customFormat="1">
      <c r="B32" s="426"/>
      <c r="C32" s="445"/>
      <c r="D32" s="427" t="s">
        <v>1153</v>
      </c>
      <c r="E32" s="329">
        <f>VLOOKUP(E6,'Feed parameters'!$A$2:$M$113,2, FALSE)</f>
        <v>90</v>
      </c>
      <c r="F32" s="262">
        <f>VLOOKUP(F6,'Feed parameters'!$A$2:$M$113,2, FALSE)</f>
        <v>15</v>
      </c>
      <c r="G32" s="262">
        <f>VLOOKUP(G6,FEED_P[[#All],[Feed]:[DE (fraction)]],2, FALSE)</f>
        <v>24.9</v>
      </c>
      <c r="H32" s="262">
        <f>VLOOKUP(H6,'Feed parameters'!$A$2:$M$113,2, FALSE)</f>
        <v>22</v>
      </c>
      <c r="I32" s="262">
        <f>VLOOKUP(I6,'Feed parameters'!$A$2:$M$113,2, FALSE)</f>
        <v>87</v>
      </c>
      <c r="J32" s="262">
        <f>VLOOKUP(J6,'Feed parameters'!$A$2:$M$113,2, FALSE)</f>
        <v>60</v>
      </c>
      <c r="K32" s="262">
        <f>VLOOKUP(K6,'Feed parameters'!$A$2:$M$113,2, FALSE)</f>
        <v>0</v>
      </c>
      <c r="L32" s="330">
        <f>IFERROR(SUMPRODUCT(E28:K28,E32:K32)/ SUM(E28:K28), 0)</f>
        <v>0</v>
      </c>
      <c r="M32" s="471" t="s">
        <v>1153</v>
      </c>
      <c r="N32" s="638">
        <f t="shared" ref="N32" si="49">N25</f>
        <v>90</v>
      </c>
      <c r="O32" s="638">
        <f t="shared" ref="O32:T32" si="50">O25</f>
        <v>15</v>
      </c>
      <c r="P32" s="638">
        <f t="shared" si="50"/>
        <v>24.9</v>
      </c>
      <c r="Q32" s="638">
        <f t="shared" si="50"/>
        <v>22</v>
      </c>
      <c r="R32" s="638">
        <f t="shared" si="50"/>
        <v>87</v>
      </c>
      <c r="S32" s="638">
        <f t="shared" si="50"/>
        <v>60</v>
      </c>
      <c r="T32" s="638">
        <f t="shared" si="50"/>
        <v>0</v>
      </c>
      <c r="U32" s="337">
        <f>IFERROR(SUMPRODUCT(N28:T28,N32:T32)/ SUM(N28:T28), 0)</f>
        <v>0</v>
      </c>
      <c r="V32" s="471" t="s">
        <v>1153</v>
      </c>
      <c r="W32" s="638">
        <f t="shared" si="46"/>
        <v>90</v>
      </c>
      <c r="X32" s="638">
        <f t="shared" si="46"/>
        <v>15</v>
      </c>
      <c r="Y32" s="638">
        <f t="shared" si="46"/>
        <v>24.9</v>
      </c>
      <c r="Z32" s="638">
        <f t="shared" si="46"/>
        <v>22</v>
      </c>
      <c r="AA32" s="638">
        <f t="shared" si="46"/>
        <v>87</v>
      </c>
      <c r="AB32" s="638">
        <f t="shared" si="46"/>
        <v>60</v>
      </c>
      <c r="AC32" s="638">
        <f t="shared" si="46"/>
        <v>0</v>
      </c>
      <c r="AD32" s="337">
        <f>IFERROR(SUMPRODUCT(W28:AC28,W32:AC32)/ SUM(W28:AC28), 0)</f>
        <v>0</v>
      </c>
      <c r="AE32" s="495">
        <f>L32*$G$3+U32*$P$3+AD32*$Y$3</f>
        <v>0</v>
      </c>
    </row>
    <row r="33" spans="1:32" s="144" customFormat="1">
      <c r="B33" s="426"/>
      <c r="C33" s="445"/>
      <c r="D33" s="427" t="s">
        <v>1171</v>
      </c>
      <c r="E33" s="329">
        <f t="shared" ref="E33:K33" si="51">IFERROR((E28*E32)/SUMPRODUCT($E28:$K28,$E32:$K32), 0)</f>
        <v>0</v>
      </c>
      <c r="F33" s="262">
        <f t="shared" si="51"/>
        <v>0</v>
      </c>
      <c r="G33" s="262">
        <f t="shared" si="51"/>
        <v>0</v>
      </c>
      <c r="H33" s="262">
        <f t="shared" si="51"/>
        <v>0</v>
      </c>
      <c r="I33" s="262">
        <f t="shared" si="51"/>
        <v>0</v>
      </c>
      <c r="J33" s="262">
        <f t="shared" si="51"/>
        <v>0</v>
      </c>
      <c r="K33" s="262">
        <f t="shared" si="51"/>
        <v>0</v>
      </c>
      <c r="L33" s="330"/>
      <c r="M33" s="471" t="s">
        <v>1171</v>
      </c>
      <c r="N33" s="262">
        <f t="shared" ref="N33:T33" si="52">IFERROR((N28*N32)/SUMPRODUCT($N28:$T28,$N32:$T32), 0)</f>
        <v>0</v>
      </c>
      <c r="O33" s="262">
        <f t="shared" si="52"/>
        <v>0</v>
      </c>
      <c r="P33" s="262">
        <f t="shared" si="52"/>
        <v>0</v>
      </c>
      <c r="Q33" s="262">
        <f t="shared" si="52"/>
        <v>0</v>
      </c>
      <c r="R33" s="262">
        <f t="shared" si="52"/>
        <v>0</v>
      </c>
      <c r="S33" s="262">
        <f t="shared" si="52"/>
        <v>0</v>
      </c>
      <c r="T33" s="262">
        <f t="shared" si="52"/>
        <v>0</v>
      </c>
      <c r="U33" s="337"/>
      <c r="V33" s="471" t="s">
        <v>1171</v>
      </c>
      <c r="W33" s="262">
        <f>IFERROR((W28*W32)/SUMPRODUCT($W28:$AC28,$W32:$AC32), 0)</f>
        <v>0</v>
      </c>
      <c r="X33" s="262">
        <f t="shared" ref="X33" si="53">IFERROR((X28*X32)/SUMPRODUCT($W28:$AC28,$W32:$AC32), 0)</f>
        <v>0</v>
      </c>
      <c r="Y33" s="262">
        <f t="shared" ref="Y33" si="54">IFERROR((Y28*Y32)/SUMPRODUCT($W28:$AC28,$W32:$AC32), 0)</f>
        <v>0</v>
      </c>
      <c r="Z33" s="262">
        <f t="shared" ref="Z33" si="55">IFERROR((Z28*Z32)/SUMPRODUCT($W28:$AC28,$W32:$AC32), 0)</f>
        <v>0</v>
      </c>
      <c r="AA33" s="262">
        <f t="shared" ref="AA33" si="56">IFERROR((AA28*AA32)/SUMPRODUCT($W28:$AC28,$W32:$AC32), 0)</f>
        <v>0</v>
      </c>
      <c r="AB33" s="262">
        <f t="shared" ref="AB33" si="57">IFERROR((AB28*AB32)/SUMPRODUCT($W28:$AC28,$W32:$AC32), 0)</f>
        <v>0</v>
      </c>
      <c r="AC33" s="262">
        <f t="shared" ref="AC33" si="58">IFERROR((AC28*AC32)/SUMPRODUCT($W28:$AC28,$W32:$AC32), 0)</f>
        <v>0</v>
      </c>
      <c r="AD33" s="337"/>
      <c r="AE33" s="495"/>
    </row>
    <row r="34" spans="1:32" s="144" customFormat="1">
      <c r="A34" s="262"/>
      <c r="B34" s="431"/>
      <c r="C34" s="449"/>
      <c r="D34" s="427"/>
      <c r="E34" s="329"/>
      <c r="F34" s="262"/>
      <c r="G34" s="262"/>
      <c r="H34" s="262"/>
      <c r="I34" s="262"/>
      <c r="J34" s="262"/>
      <c r="K34" s="262"/>
      <c r="L34" s="333"/>
      <c r="M34" s="339"/>
      <c r="N34" s="262"/>
      <c r="O34" s="262"/>
      <c r="P34" s="262"/>
      <c r="Q34" s="262"/>
      <c r="R34" s="262"/>
      <c r="S34" s="262"/>
      <c r="T34" s="262"/>
      <c r="U34" s="333"/>
      <c r="V34" s="339"/>
      <c r="W34" s="262"/>
      <c r="X34" s="262"/>
      <c r="Y34" s="262"/>
      <c r="Z34" s="262"/>
      <c r="AA34" s="262"/>
      <c r="AB34" s="262"/>
      <c r="AC34" s="262"/>
      <c r="AD34" s="333"/>
      <c r="AE34" s="495"/>
    </row>
    <row r="35" spans="1:32" s="291" customFormat="1">
      <c r="B35" s="432">
        <f>INPUTS!C21</f>
        <v>0</v>
      </c>
      <c r="C35" s="450"/>
      <c r="D35" s="425" t="s">
        <v>1170</v>
      </c>
      <c r="E35" s="327">
        <f>INPUTS!G56</f>
        <v>0</v>
      </c>
      <c r="F35" s="292">
        <f>INPUTS!G57</f>
        <v>0</v>
      </c>
      <c r="G35" s="292">
        <f>INPUTS!G58</f>
        <v>0</v>
      </c>
      <c r="H35" s="292">
        <f>INPUTS!G59</f>
        <v>0</v>
      </c>
      <c r="I35" s="292">
        <f>INPUTS!G60</f>
        <v>0</v>
      </c>
      <c r="J35" s="292">
        <f>INPUTS!G61</f>
        <v>0</v>
      </c>
      <c r="K35" s="292">
        <f>INPUTS!G62</f>
        <v>0</v>
      </c>
      <c r="L35" s="328"/>
      <c r="M35" s="487" t="s">
        <v>1170</v>
      </c>
      <c r="N35" s="292">
        <f>INPUTS!V56</f>
        <v>0</v>
      </c>
      <c r="O35" s="292">
        <f>INPUTS!V57</f>
        <v>0</v>
      </c>
      <c r="P35" s="292">
        <f>INPUTS!V58</f>
        <v>0</v>
      </c>
      <c r="Q35" s="292">
        <f>INPUTS!V59</f>
        <v>0</v>
      </c>
      <c r="R35" s="292">
        <f>INPUTS!V60</f>
        <v>0</v>
      </c>
      <c r="S35" s="292">
        <f>INPUTS!V61</f>
        <v>0</v>
      </c>
      <c r="T35" s="292">
        <f>INPUTS!V62</f>
        <v>0</v>
      </c>
      <c r="U35" s="336"/>
      <c r="V35" s="487" t="s">
        <v>1170</v>
      </c>
      <c r="W35" s="292">
        <f>INPUTS!AK56</f>
        <v>0</v>
      </c>
      <c r="X35" s="292">
        <f>INPUTS!AK57</f>
        <v>0</v>
      </c>
      <c r="Y35" s="292">
        <f>INPUTS!AK58</f>
        <v>0</v>
      </c>
      <c r="Z35" s="292">
        <f>INPUTS!AK59</f>
        <v>0</v>
      </c>
      <c r="AA35" s="292">
        <f>INPUTS!AK60</f>
        <v>0</v>
      </c>
      <c r="AB35" s="292">
        <f>INPUTS!AK61</f>
        <v>0</v>
      </c>
      <c r="AC35" s="292">
        <f>INPUTS!AK62</f>
        <v>0</v>
      </c>
      <c r="AD35" s="336"/>
      <c r="AE35" s="494"/>
    </row>
    <row r="36" spans="1:32" s="144" customFormat="1">
      <c r="B36" s="431"/>
      <c r="C36" s="449"/>
      <c r="D36" s="427" t="s">
        <v>815</v>
      </c>
      <c r="E36" s="329">
        <f>VLOOKUP(E6,'Feed parameters'!$A$2:$M$113,6, FALSE)</f>
        <v>14.4</v>
      </c>
      <c r="F36" s="262">
        <f>VLOOKUP(F6,'Feed parameters'!$A$2:$M$113,6, FALSE)</f>
        <v>1.65</v>
      </c>
      <c r="G36" s="262">
        <f>VLOOKUP(G6,FEED_P[[#All],[Feed]:[DE (fraction)]],6, FALSE)</f>
        <v>2.5148999999999999</v>
      </c>
      <c r="H36" s="262">
        <f>VLOOKUP(H6,'Feed parameters'!$A$2:$M$113,6, FALSE)</f>
        <v>1.21</v>
      </c>
      <c r="I36" s="262">
        <f>VLOOKUP(I6,'Feed parameters'!$A$2:$M$113,6, FALSE)</f>
        <v>3.3930000000000002</v>
      </c>
      <c r="J36" s="262">
        <f>VLOOKUP(J6,'Feed parameters'!$A$2:$M$113,6, FALSE)</f>
        <v>3.6</v>
      </c>
      <c r="K36" s="262">
        <f>VLOOKUP(K6,'Feed parameters'!$A$2:$M$113,6, FALSE)</f>
        <v>0</v>
      </c>
      <c r="L36" s="330">
        <f>IFERROR(SUMPRODUCT(E35:K35,E36:K36)/ SUM(E35:K35), 0)</f>
        <v>0</v>
      </c>
      <c r="M36" s="339" t="s">
        <v>815</v>
      </c>
      <c r="N36" s="638">
        <f>N29</f>
        <v>14.4</v>
      </c>
      <c r="O36" s="638">
        <f t="shared" ref="O36:T36" si="59">O29</f>
        <v>1.65</v>
      </c>
      <c r="P36" s="638">
        <f t="shared" si="59"/>
        <v>2.5148999999999999</v>
      </c>
      <c r="Q36" s="638">
        <f t="shared" si="59"/>
        <v>1.21</v>
      </c>
      <c r="R36" s="638">
        <f t="shared" si="59"/>
        <v>3.3930000000000002</v>
      </c>
      <c r="S36" s="638">
        <f t="shared" si="59"/>
        <v>3.6</v>
      </c>
      <c r="T36" s="638">
        <f t="shared" si="59"/>
        <v>0</v>
      </c>
      <c r="U36" s="337">
        <f>IFERROR(SUMPRODUCT(N35:T35,N36:T36)/ SUM(N35:T35), 0)</f>
        <v>0</v>
      </c>
      <c r="V36" s="339" t="s">
        <v>815</v>
      </c>
      <c r="W36" s="638">
        <f>W29</f>
        <v>14.4</v>
      </c>
      <c r="X36" s="638">
        <f t="shared" ref="X36:AC36" si="60">X29</f>
        <v>1.65</v>
      </c>
      <c r="Y36" s="638">
        <f t="shared" si="60"/>
        <v>2.5148999999999999</v>
      </c>
      <c r="Z36" s="638">
        <f t="shared" si="60"/>
        <v>1.21</v>
      </c>
      <c r="AA36" s="638">
        <f t="shared" si="60"/>
        <v>3.3930000000000002</v>
      </c>
      <c r="AB36" s="638">
        <f t="shared" si="60"/>
        <v>3.6</v>
      </c>
      <c r="AC36" s="638">
        <f t="shared" si="60"/>
        <v>0</v>
      </c>
      <c r="AD36" s="337">
        <f>IFERROR(SUMPRODUCT(W35:AC35,W36:AC36)/ SUM(W35:AC35), 0)</f>
        <v>0</v>
      </c>
      <c r="AE36" s="495">
        <f>L36*$G$3+U36*$P$3+AD36*$Y$3</f>
        <v>0</v>
      </c>
      <c r="AF36" s="407" t="e">
        <f>L36*$G$3/(L39*0.01)+U36*$P$3/(U39*0.01)+AD36*$Y$3/(AD39*0.01)</f>
        <v>#DIV/0!</v>
      </c>
    </row>
    <row r="37" spans="1:32" s="144" customFormat="1">
      <c r="B37" s="431"/>
      <c r="C37" s="449"/>
      <c r="D37" s="427" t="s">
        <v>816</v>
      </c>
      <c r="E37" s="329">
        <f>VLOOKUP(E6,'Feed parameters'!$A$2:$M$113,7, FALSE)</f>
        <v>0.79859999999999998</v>
      </c>
      <c r="F37" s="262">
        <f>VLOOKUP(F6,'Feed parameters'!$A$2:$M$113,7, FALSE)</f>
        <v>0.65213596800000007</v>
      </c>
      <c r="G37" s="262">
        <f>VLOOKUP(G6,FEED_P[[#All],[Feed]:[DE (fraction)]],7, FALSE)</f>
        <v>0.53459999999999996</v>
      </c>
      <c r="H37" s="262">
        <f>VLOOKUP(H6,'Feed parameters'!$A$2:$M$113,7, FALSE)</f>
        <v>0.5411999999999999</v>
      </c>
      <c r="I37" s="262">
        <f>VLOOKUP(I6,'Feed parameters'!$A$2:$M$113,7, FALSE)</f>
        <v>0.45539999999999997</v>
      </c>
      <c r="J37" s="262">
        <f>VLOOKUP(J6,'Feed parameters'!$A$2:$M$113,7, FALSE)</f>
        <v>0.33</v>
      </c>
      <c r="K37" s="262">
        <f>VLOOKUP(K6,'Feed parameters'!$A$2:$M$113,7, FALSE)</f>
        <v>0</v>
      </c>
      <c r="L37" s="330">
        <f>IFERROR(SUMPRODUCT(E35:K35,E37:K37)/ SUM(E35:K35), 0)</f>
        <v>0</v>
      </c>
      <c r="M37" s="339" t="s">
        <v>816</v>
      </c>
      <c r="N37" s="638">
        <f t="shared" ref="N37" si="61">N30</f>
        <v>0.79859999999999998</v>
      </c>
      <c r="O37" s="638">
        <f t="shared" ref="O37:T37" si="62">O30</f>
        <v>0.65213596800000007</v>
      </c>
      <c r="P37" s="638">
        <f t="shared" si="62"/>
        <v>0.53459999999999996</v>
      </c>
      <c r="Q37" s="638">
        <f t="shared" si="62"/>
        <v>0.5411999999999999</v>
      </c>
      <c r="R37" s="638">
        <f t="shared" si="62"/>
        <v>0.45539999999999997</v>
      </c>
      <c r="S37" s="638">
        <f t="shared" si="62"/>
        <v>0.33</v>
      </c>
      <c r="T37" s="638">
        <f t="shared" si="62"/>
        <v>0</v>
      </c>
      <c r="U37" s="337">
        <f>IFERROR(SUMPRODUCT(N35:T35,N37:T37)/ SUM(N35:T35), 0)</f>
        <v>0</v>
      </c>
      <c r="V37" s="339" t="s">
        <v>816</v>
      </c>
      <c r="W37" s="638">
        <f t="shared" ref="W37:AC39" si="63">W30</f>
        <v>0.79859999999999998</v>
      </c>
      <c r="X37" s="638">
        <f t="shared" si="63"/>
        <v>0.65213596800000007</v>
      </c>
      <c r="Y37" s="638">
        <f t="shared" si="63"/>
        <v>0.53459999999999996</v>
      </c>
      <c r="Z37" s="638">
        <f t="shared" si="63"/>
        <v>0.5411999999999999</v>
      </c>
      <c r="AA37" s="638">
        <f t="shared" si="63"/>
        <v>0.45539999999999997</v>
      </c>
      <c r="AB37" s="638">
        <f t="shared" si="63"/>
        <v>0.33</v>
      </c>
      <c r="AC37" s="638">
        <f t="shared" si="63"/>
        <v>0</v>
      </c>
      <c r="AD37" s="337">
        <f>IFERROR(SUMPRODUCT(W35:AC35,W37:AC37)/ SUM(W35:AC35), 0)</f>
        <v>0</v>
      </c>
      <c r="AE37" s="495">
        <f>L37*$G$3+U37*$P$3+AD37*$Y$3</f>
        <v>0</v>
      </c>
    </row>
    <row r="38" spans="1:32" s="144" customFormat="1">
      <c r="B38" s="431"/>
      <c r="C38" s="449"/>
      <c r="D38" s="427" t="s">
        <v>906</v>
      </c>
      <c r="E38" s="329">
        <f>VLOOKUP(E6,'Feed parameters'!$A$2:$M$113,4, FALSE)</f>
        <v>10.89</v>
      </c>
      <c r="F38" s="262">
        <f>VLOOKUP(F6,'Feed parameters'!$A$2:$M$113,4, FALSE)</f>
        <v>1.4821272000000001</v>
      </c>
      <c r="G38" s="262">
        <f>VLOOKUP(G6,FEED_P[[#All],[Feed]:[DE (fraction)]],4, FALSE)</f>
        <v>2.0168999999999997</v>
      </c>
      <c r="H38" s="262">
        <f>VLOOKUP(H6,'Feed parameters'!$A$2:$M$113,4, FALSE)</f>
        <v>1.8039999999999998</v>
      </c>
      <c r="I38" s="262">
        <f>VLOOKUP(I6,'Feed parameters'!$A$2:$M$113,4, FALSE)</f>
        <v>6.0030000000000001</v>
      </c>
      <c r="J38" s="262">
        <f>VLOOKUP(J6,'Feed parameters'!$A$2:$M$113,4, FALSE)</f>
        <v>3</v>
      </c>
      <c r="K38" s="262">
        <f>VLOOKUP(K6,'Feed parameters'!$A$2:$M$113,4, FALSE)</f>
        <v>0</v>
      </c>
      <c r="L38" s="330">
        <f>IFERROR(SUMPRODUCT(E35:K35,E38:K38)/ SUM(E35:K35), 0)</f>
        <v>0</v>
      </c>
      <c r="M38" s="339" t="s">
        <v>906</v>
      </c>
      <c r="N38" s="638">
        <f t="shared" ref="N38" si="64">N31</f>
        <v>10.89</v>
      </c>
      <c r="O38" s="638">
        <f t="shared" ref="O38:T38" si="65">O31</f>
        <v>1.4821272000000001</v>
      </c>
      <c r="P38" s="638">
        <f t="shared" si="65"/>
        <v>2.0168999999999997</v>
      </c>
      <c r="Q38" s="638">
        <f t="shared" si="65"/>
        <v>1.8039999999999998</v>
      </c>
      <c r="R38" s="638">
        <f t="shared" si="65"/>
        <v>6.0030000000000001</v>
      </c>
      <c r="S38" s="638">
        <f t="shared" si="65"/>
        <v>3</v>
      </c>
      <c r="T38" s="638">
        <f t="shared" si="65"/>
        <v>0</v>
      </c>
      <c r="U38" s="337">
        <f>IFERROR(SUMPRODUCT(N35:T35,N38:T38)/ SUM(N35:T35), 0)</f>
        <v>0</v>
      </c>
      <c r="V38" s="339" t="s">
        <v>906</v>
      </c>
      <c r="W38" s="638">
        <f t="shared" si="63"/>
        <v>10.89</v>
      </c>
      <c r="X38" s="638">
        <f t="shared" si="63"/>
        <v>1.4821272000000001</v>
      </c>
      <c r="Y38" s="638">
        <f t="shared" si="63"/>
        <v>2.0168999999999997</v>
      </c>
      <c r="Z38" s="638">
        <f t="shared" si="63"/>
        <v>1.8039999999999998</v>
      </c>
      <c r="AA38" s="638">
        <f t="shared" si="63"/>
        <v>6.0030000000000001</v>
      </c>
      <c r="AB38" s="638">
        <f t="shared" si="63"/>
        <v>3</v>
      </c>
      <c r="AC38" s="638">
        <f t="shared" si="63"/>
        <v>0</v>
      </c>
      <c r="AD38" s="337">
        <f>IFERROR(SUMPRODUCT(W35:AC35,W38:AC38)/ SUM(W35:AC35), 0)</f>
        <v>0</v>
      </c>
      <c r="AE38" s="495"/>
    </row>
    <row r="39" spans="1:32" s="144" customFormat="1">
      <c r="B39" s="426"/>
      <c r="C39" s="445"/>
      <c r="D39" s="427" t="s">
        <v>1153</v>
      </c>
      <c r="E39" s="329">
        <f>VLOOKUP(E6,'Feed parameters'!$A$2:$M$113,2, FALSE)</f>
        <v>90</v>
      </c>
      <c r="F39" s="262">
        <f>VLOOKUP(F6,'Feed parameters'!$A$2:$M$113,2, FALSE)</f>
        <v>15</v>
      </c>
      <c r="G39" s="262">
        <f>VLOOKUP(G6,FEED_P[[#All],[Feed]:[DE (fraction)]],2, FALSE)</f>
        <v>24.9</v>
      </c>
      <c r="H39" s="262">
        <f>VLOOKUP(H6,'Feed parameters'!$A$2:$M$113,2, FALSE)</f>
        <v>22</v>
      </c>
      <c r="I39" s="262">
        <f>VLOOKUP(I6,'Feed parameters'!$A$2:$M$113,2, FALSE)</f>
        <v>87</v>
      </c>
      <c r="J39" s="262">
        <f>VLOOKUP(J6,'Feed parameters'!$A$2:$M$113,2, FALSE)</f>
        <v>60</v>
      </c>
      <c r="K39" s="262">
        <f>VLOOKUP(K6,'Feed parameters'!$A$2:$M$113,2, FALSE)</f>
        <v>0</v>
      </c>
      <c r="L39" s="330">
        <f>IFERROR(SUMPRODUCT(E35:K35,E39:K39)/ SUM(E35:K35), 0)</f>
        <v>0</v>
      </c>
      <c r="M39" s="471" t="s">
        <v>1153</v>
      </c>
      <c r="N39" s="638">
        <f t="shared" ref="N39" si="66">N32</f>
        <v>90</v>
      </c>
      <c r="O39" s="638">
        <f t="shared" ref="O39:T39" si="67">O32</f>
        <v>15</v>
      </c>
      <c r="P39" s="638">
        <f t="shared" si="67"/>
        <v>24.9</v>
      </c>
      <c r="Q39" s="638">
        <f t="shared" si="67"/>
        <v>22</v>
      </c>
      <c r="R39" s="638">
        <f t="shared" si="67"/>
        <v>87</v>
      </c>
      <c r="S39" s="638">
        <f t="shared" si="67"/>
        <v>60</v>
      </c>
      <c r="T39" s="638">
        <f t="shared" si="67"/>
        <v>0</v>
      </c>
      <c r="U39" s="337">
        <f>IFERROR(SUMPRODUCT(N35:T35,N39:T39)/ SUM(N35:T35), 0)</f>
        <v>0</v>
      </c>
      <c r="V39" s="471" t="s">
        <v>1153</v>
      </c>
      <c r="W39" s="638">
        <f t="shared" si="63"/>
        <v>90</v>
      </c>
      <c r="X39" s="638">
        <f t="shared" si="63"/>
        <v>15</v>
      </c>
      <c r="Y39" s="638">
        <f t="shared" si="63"/>
        <v>24.9</v>
      </c>
      <c r="Z39" s="638">
        <f t="shared" si="63"/>
        <v>22</v>
      </c>
      <c r="AA39" s="638">
        <f t="shared" si="63"/>
        <v>87</v>
      </c>
      <c r="AB39" s="638">
        <f t="shared" si="63"/>
        <v>60</v>
      </c>
      <c r="AC39" s="638">
        <f t="shared" si="63"/>
        <v>0</v>
      </c>
      <c r="AD39" s="337">
        <f>IFERROR(SUMPRODUCT(W35:AC35,W39:AC39)/ SUM(W35:AC35), 0)</f>
        <v>0</v>
      </c>
      <c r="AE39" s="495">
        <f>L39*$G$3+U39*$P$3+AD39*$Y$3</f>
        <v>0</v>
      </c>
    </row>
    <row r="40" spans="1:32" s="144" customFormat="1">
      <c r="B40" s="426"/>
      <c r="C40" s="445"/>
      <c r="D40" s="427" t="s">
        <v>1171</v>
      </c>
      <c r="E40" s="329">
        <f t="shared" ref="E40:K40" si="68">IFERROR((E35*E39)/SUMPRODUCT($E35:$K35,$E39:$K39), 0)</f>
        <v>0</v>
      </c>
      <c r="F40" s="262">
        <f t="shared" si="68"/>
        <v>0</v>
      </c>
      <c r="G40" s="262">
        <f t="shared" si="68"/>
        <v>0</v>
      </c>
      <c r="H40" s="262">
        <f t="shared" si="68"/>
        <v>0</v>
      </c>
      <c r="I40" s="262">
        <f t="shared" si="68"/>
        <v>0</v>
      </c>
      <c r="J40" s="262">
        <f t="shared" si="68"/>
        <v>0</v>
      </c>
      <c r="K40" s="262">
        <f t="shared" si="68"/>
        <v>0</v>
      </c>
      <c r="L40" s="330"/>
      <c r="M40" s="471" t="s">
        <v>1171</v>
      </c>
      <c r="N40" s="262">
        <f t="shared" ref="N40:T40" si="69">IFERROR((N35*N39)/SUMPRODUCT($N35:$T35,$N39:$T39), 0)</f>
        <v>0</v>
      </c>
      <c r="O40" s="262">
        <f t="shared" si="69"/>
        <v>0</v>
      </c>
      <c r="P40" s="262">
        <f t="shared" si="69"/>
        <v>0</v>
      </c>
      <c r="Q40" s="262">
        <f t="shared" si="69"/>
        <v>0</v>
      </c>
      <c r="R40" s="262">
        <f t="shared" si="69"/>
        <v>0</v>
      </c>
      <c r="S40" s="262">
        <f t="shared" si="69"/>
        <v>0</v>
      </c>
      <c r="T40" s="262">
        <f t="shared" si="69"/>
        <v>0</v>
      </c>
      <c r="U40" s="337"/>
      <c r="V40" s="471" t="s">
        <v>1171</v>
      </c>
      <c r="W40" s="262">
        <f>IFERROR((W35*W39)/SUMPRODUCT($W35:$AC35,$W39:$AC39), 0)</f>
        <v>0</v>
      </c>
      <c r="X40" s="262">
        <f t="shared" ref="X40" si="70">IFERROR((X35*X39)/SUMPRODUCT($W35:$AC35,$W39:$AC39), 0)</f>
        <v>0</v>
      </c>
      <c r="Y40" s="262">
        <f t="shared" ref="Y40" si="71">IFERROR((Y35*Y39)/SUMPRODUCT($W35:$AC35,$W39:$AC39), 0)</f>
        <v>0</v>
      </c>
      <c r="Z40" s="262">
        <f t="shared" ref="Z40" si="72">IFERROR((Z35*Z39)/SUMPRODUCT($W35:$AC35,$W39:$AC39), 0)</f>
        <v>0</v>
      </c>
      <c r="AA40" s="262">
        <f t="shared" ref="AA40" si="73">IFERROR((AA35*AA39)/SUMPRODUCT($W35:$AC35,$W39:$AC39), 0)</f>
        <v>0</v>
      </c>
      <c r="AB40" s="262">
        <f t="shared" ref="AB40" si="74">IFERROR((AB35*AB39)/SUMPRODUCT($W35:$AC35,$W39:$AC39), 0)</f>
        <v>0</v>
      </c>
      <c r="AC40" s="262">
        <f t="shared" ref="AC40" si="75">IFERROR((AC35*AC39)/SUMPRODUCT($W35:$AC35,$W39:$AC39), 0)</f>
        <v>0</v>
      </c>
      <c r="AD40" s="337"/>
      <c r="AE40" s="495"/>
    </row>
    <row r="41" spans="1:32" s="144" customFormat="1">
      <c r="B41" s="426"/>
      <c r="C41" s="445"/>
      <c r="D41" s="427"/>
      <c r="E41" s="329"/>
      <c r="F41" s="262"/>
      <c r="G41" s="262"/>
      <c r="H41" s="262"/>
      <c r="I41" s="262"/>
      <c r="J41" s="262"/>
      <c r="K41" s="262"/>
      <c r="L41" s="330"/>
      <c r="M41" s="471"/>
      <c r="N41" s="262"/>
      <c r="O41" s="262"/>
      <c r="P41" s="262"/>
      <c r="Q41" s="262"/>
      <c r="R41" s="262"/>
      <c r="S41" s="262"/>
      <c r="T41" s="262"/>
      <c r="U41" s="337"/>
      <c r="V41" s="471"/>
      <c r="W41" s="262"/>
      <c r="X41" s="262"/>
      <c r="Y41" s="262"/>
      <c r="Z41" s="262"/>
      <c r="AA41" s="262"/>
      <c r="AB41" s="262"/>
      <c r="AC41" s="262"/>
      <c r="AD41" s="337"/>
      <c r="AE41" s="495"/>
    </row>
    <row r="42" spans="1:32" s="291" customFormat="1">
      <c r="B42" s="428">
        <f>INPUTS!C22</f>
        <v>0</v>
      </c>
      <c r="C42" s="446"/>
      <c r="D42" s="425" t="s">
        <v>1170</v>
      </c>
      <c r="E42" s="292">
        <f>INPUTS!H56</f>
        <v>0</v>
      </c>
      <c r="F42" s="292">
        <f>INPUTS!H57</f>
        <v>0</v>
      </c>
      <c r="G42" s="292">
        <f>INPUTS!H58</f>
        <v>0</v>
      </c>
      <c r="H42" s="292">
        <f>INPUTS!H59</f>
        <v>0</v>
      </c>
      <c r="I42" s="292">
        <f>INPUTS!H60</f>
        <v>0</v>
      </c>
      <c r="J42" s="292">
        <f>INPUTS!H61</f>
        <v>0</v>
      </c>
      <c r="K42" s="292">
        <f>INPUTS!H62</f>
        <v>0</v>
      </c>
      <c r="L42" s="292"/>
      <c r="M42" s="487" t="s">
        <v>1170</v>
      </c>
      <c r="N42" s="292">
        <f>INPUTS!W56</f>
        <v>0</v>
      </c>
      <c r="O42" s="292">
        <f>INPUTS!W57</f>
        <v>0</v>
      </c>
      <c r="P42" s="292">
        <f>INPUTS!W58</f>
        <v>0</v>
      </c>
      <c r="Q42" s="292">
        <f>INPUTS!W59</f>
        <v>0</v>
      </c>
      <c r="R42" s="292">
        <f>INPUTS!W60</f>
        <v>0</v>
      </c>
      <c r="S42" s="292">
        <f>INPUTS!W61</f>
        <v>0</v>
      </c>
      <c r="T42" s="292">
        <f>INPUTS!W62</f>
        <v>0</v>
      </c>
      <c r="U42" s="336"/>
      <c r="V42" s="487" t="s">
        <v>1170</v>
      </c>
      <c r="W42" s="292">
        <f>INPUTS!AL56</f>
        <v>0</v>
      </c>
      <c r="X42" s="292">
        <f>INPUTS!AL57</f>
        <v>0</v>
      </c>
      <c r="Y42" s="292">
        <f>INPUTS!AL58</f>
        <v>0</v>
      </c>
      <c r="Z42" s="292">
        <f>INPUTS!AL59</f>
        <v>0</v>
      </c>
      <c r="AA42" s="292">
        <f>INPUTS!AL60</f>
        <v>0</v>
      </c>
      <c r="AB42" s="292">
        <f>INPUTS!AL61</f>
        <v>0</v>
      </c>
      <c r="AC42" s="292">
        <f>INPUTS!AL62</f>
        <v>0</v>
      </c>
      <c r="AD42" s="336"/>
      <c r="AE42" s="494"/>
    </row>
    <row r="43" spans="1:32" s="144" customFormat="1">
      <c r="B43" s="429"/>
      <c r="C43" s="447"/>
      <c r="D43" s="427" t="s">
        <v>815</v>
      </c>
      <c r="E43" s="331">
        <f>VLOOKUP(E6,'Feed parameters'!$A$2:$M$113,6, FALSE)</f>
        <v>14.4</v>
      </c>
      <c r="F43" s="184">
        <f>VLOOKUP(F6,'Feed parameters'!$A$2:$M$113,6, FALSE)</f>
        <v>1.65</v>
      </c>
      <c r="G43" s="184">
        <f>VLOOKUP(G6,FEED_P[[#All],[Feed]:[DE (fraction)]],6, FALSE)</f>
        <v>2.5148999999999999</v>
      </c>
      <c r="H43" s="184">
        <f>VLOOKUP(H6,'Feed parameters'!$A$2:$M$113,6, FALSE)</f>
        <v>1.21</v>
      </c>
      <c r="I43" s="184">
        <f>VLOOKUP(I6,'Feed parameters'!$A$2:$M$113,6, FALSE)</f>
        <v>3.3930000000000002</v>
      </c>
      <c r="J43" s="184">
        <f>VLOOKUP(J6,'Feed parameters'!$A$2:$M$113,6, FALSE)</f>
        <v>3.6</v>
      </c>
      <c r="K43" s="184">
        <f>VLOOKUP(K6,'Feed parameters'!$A$2:$M$113,6, FALSE)</f>
        <v>0</v>
      </c>
      <c r="L43" s="332">
        <f>IFERROR(SUMPRODUCT(E42:K42,E43:K43)/ SUM(E42:K42), 0)</f>
        <v>0</v>
      </c>
      <c r="M43" s="339" t="s">
        <v>815</v>
      </c>
      <c r="N43" s="638">
        <f>N36</f>
        <v>14.4</v>
      </c>
      <c r="O43" s="638">
        <f t="shared" ref="O43:T43" si="76">O36</f>
        <v>1.65</v>
      </c>
      <c r="P43" s="638">
        <f t="shared" si="76"/>
        <v>2.5148999999999999</v>
      </c>
      <c r="Q43" s="638">
        <f t="shared" si="76"/>
        <v>1.21</v>
      </c>
      <c r="R43" s="638">
        <f t="shared" si="76"/>
        <v>3.3930000000000002</v>
      </c>
      <c r="S43" s="638">
        <f t="shared" si="76"/>
        <v>3.6</v>
      </c>
      <c r="T43" s="638">
        <f t="shared" si="76"/>
        <v>0</v>
      </c>
      <c r="U43" s="338">
        <f>IFERROR(SUMPRODUCT(N42:T42,N43:T43)/ SUM(N42:T42), 0)</f>
        <v>0</v>
      </c>
      <c r="V43" s="339" t="s">
        <v>815</v>
      </c>
      <c r="W43" s="638">
        <f>W36</f>
        <v>14.4</v>
      </c>
      <c r="X43" s="638">
        <f t="shared" ref="X43:AC43" si="77">X36</f>
        <v>1.65</v>
      </c>
      <c r="Y43" s="638">
        <f t="shared" si="77"/>
        <v>2.5148999999999999</v>
      </c>
      <c r="Z43" s="638">
        <f t="shared" si="77"/>
        <v>1.21</v>
      </c>
      <c r="AA43" s="638">
        <f t="shared" si="77"/>
        <v>3.3930000000000002</v>
      </c>
      <c r="AB43" s="638">
        <f t="shared" si="77"/>
        <v>3.6</v>
      </c>
      <c r="AC43" s="638">
        <f t="shared" si="77"/>
        <v>0</v>
      </c>
      <c r="AD43" s="338">
        <f>IFERROR(SUMPRODUCT(W42:AC42,W43:AC43)/ SUM(W42:AC42), 0)</f>
        <v>0</v>
      </c>
      <c r="AE43" s="495">
        <f>L43*$G$3+U43*$P$3+AD43*$Y$3</f>
        <v>0</v>
      </c>
      <c r="AF43" s="407" t="e">
        <f>L43*$G$3/(L46*0.01)+U43*$P$3/(U46*0.01)+AD43*$Y$3/(AD46*0.01)</f>
        <v>#DIV/0!</v>
      </c>
    </row>
    <row r="44" spans="1:32">
      <c r="B44" s="430"/>
      <c r="C44" s="448"/>
      <c r="D44" s="427" t="s">
        <v>816</v>
      </c>
      <c r="E44" s="400">
        <f>VLOOKUP(E6,'Feed parameters'!$A$2:$M$113,7, FALSE)</f>
        <v>0.79859999999999998</v>
      </c>
      <c r="F44" s="39">
        <f>VLOOKUP(F6,'Feed parameters'!$A$2:$M$113,7, FALSE)</f>
        <v>0.65213596800000007</v>
      </c>
      <c r="G44" s="39">
        <f>VLOOKUP(G6,FEED_P[[#All],[Feed]:[DE (fraction)]],7, FALSE)</f>
        <v>0.53459999999999996</v>
      </c>
      <c r="H44" s="39">
        <f>VLOOKUP(H6,'Feed parameters'!$A$2:$M$113,7, FALSE)</f>
        <v>0.5411999999999999</v>
      </c>
      <c r="I44" s="39">
        <f>VLOOKUP(I6,'Feed parameters'!$A$2:$M$113,7, FALSE)</f>
        <v>0.45539999999999997</v>
      </c>
      <c r="J44" s="39">
        <f>VLOOKUP(J6,'Feed parameters'!$A$2:$M$113,7, FALSE)</f>
        <v>0.33</v>
      </c>
      <c r="K44" s="39">
        <f>VLOOKUP(K6,'Feed parameters'!$A$2:$M$113,7, FALSE)</f>
        <v>0</v>
      </c>
      <c r="L44" s="921">
        <f>IFERROR(SUMPRODUCT(E42:K42,E44:K44)/ SUM(E42:K42), 0)</f>
        <v>0</v>
      </c>
      <c r="M44" s="339" t="s">
        <v>816</v>
      </c>
      <c r="N44" s="638">
        <f t="shared" ref="N44" si="78">N37</f>
        <v>0.79859999999999998</v>
      </c>
      <c r="O44" s="638">
        <f t="shared" ref="O44:T44" si="79">O37</f>
        <v>0.65213596800000007</v>
      </c>
      <c r="P44" s="638">
        <f t="shared" si="79"/>
        <v>0.53459999999999996</v>
      </c>
      <c r="Q44" s="638">
        <f t="shared" si="79"/>
        <v>0.5411999999999999</v>
      </c>
      <c r="R44" s="638">
        <f t="shared" si="79"/>
        <v>0.45539999999999997</v>
      </c>
      <c r="S44" s="638">
        <f t="shared" si="79"/>
        <v>0.33</v>
      </c>
      <c r="T44" s="638">
        <f t="shared" si="79"/>
        <v>0</v>
      </c>
      <c r="U44" s="338">
        <f>IFERROR(SUMPRODUCT(N42:T42,N44:T44)/ SUM(N42:T42), 0)</f>
        <v>0</v>
      </c>
      <c r="V44" s="339" t="s">
        <v>816</v>
      </c>
      <c r="W44" s="638">
        <f t="shared" ref="W44:AC46" si="80">W37</f>
        <v>0.79859999999999998</v>
      </c>
      <c r="X44" s="638">
        <f t="shared" si="80"/>
        <v>0.65213596800000007</v>
      </c>
      <c r="Y44" s="638">
        <f t="shared" si="80"/>
        <v>0.53459999999999996</v>
      </c>
      <c r="Z44" s="638">
        <f t="shared" si="80"/>
        <v>0.5411999999999999</v>
      </c>
      <c r="AA44" s="638">
        <f t="shared" si="80"/>
        <v>0.45539999999999997</v>
      </c>
      <c r="AB44" s="638">
        <f t="shared" si="80"/>
        <v>0.33</v>
      </c>
      <c r="AC44" s="638">
        <f t="shared" si="80"/>
        <v>0</v>
      </c>
      <c r="AD44" s="338">
        <f>IFERROR(SUMPRODUCT(W42:AC42,W44:AC44)/ SUM(W42:AC42), 0)</f>
        <v>0</v>
      </c>
      <c r="AE44" s="495">
        <f>L44*$G$3+U44*$P$3+AD44*$Y$3</f>
        <v>0</v>
      </c>
      <c r="AF44" s="144"/>
    </row>
    <row r="45" spans="1:32">
      <c r="A45" s="262"/>
      <c r="B45" s="431"/>
      <c r="C45" s="449"/>
      <c r="D45" s="427" t="s">
        <v>906</v>
      </c>
      <c r="E45" s="329">
        <f>VLOOKUP(E6,'Feed parameters'!$A$2:$M$113,4, FALSE)</f>
        <v>10.89</v>
      </c>
      <c r="F45" s="262">
        <f>VLOOKUP(F6,'Feed parameters'!$A$2:$M$113,4, FALSE)</f>
        <v>1.4821272000000001</v>
      </c>
      <c r="G45" s="262">
        <f>VLOOKUP(G6,FEED_P[[#All],[Feed]:[DE (fraction)]],4, FALSE)</f>
        <v>2.0168999999999997</v>
      </c>
      <c r="H45" s="262">
        <f>VLOOKUP(H6,'Feed parameters'!$A$2:$M$113,4, FALSE)</f>
        <v>1.8039999999999998</v>
      </c>
      <c r="I45" s="262">
        <f>VLOOKUP(I6,'Feed parameters'!$A$2:$M$113,4, FALSE)</f>
        <v>6.0030000000000001</v>
      </c>
      <c r="J45" s="262">
        <f>VLOOKUP(J6,'Feed parameters'!$A$2:$M$113,4, FALSE)</f>
        <v>3</v>
      </c>
      <c r="K45" s="262">
        <f>VLOOKUP(K6,'Feed parameters'!$A$2:$M$113,4, FALSE)</f>
        <v>0</v>
      </c>
      <c r="L45" s="337">
        <f>IFERROR(SUMPRODUCT(E42:K42,E45:K45)/ SUM(E42:K42), 0)</f>
        <v>0</v>
      </c>
      <c r="M45" s="339" t="s">
        <v>906</v>
      </c>
      <c r="N45" s="638">
        <f t="shared" ref="N45" si="81">N38</f>
        <v>10.89</v>
      </c>
      <c r="O45" s="638">
        <f t="shared" ref="O45:T45" si="82">O38</f>
        <v>1.4821272000000001</v>
      </c>
      <c r="P45" s="638">
        <f t="shared" si="82"/>
        <v>2.0168999999999997</v>
      </c>
      <c r="Q45" s="638">
        <f t="shared" si="82"/>
        <v>1.8039999999999998</v>
      </c>
      <c r="R45" s="638">
        <f t="shared" si="82"/>
        <v>6.0030000000000001</v>
      </c>
      <c r="S45" s="638">
        <f t="shared" si="82"/>
        <v>3</v>
      </c>
      <c r="T45" s="638">
        <f t="shared" si="82"/>
        <v>0</v>
      </c>
      <c r="U45" s="330">
        <f>IFERROR(SUMPRODUCT(N42:T42,N45:T45)/ SUM(N42:T42), 0)</f>
        <v>0</v>
      </c>
      <c r="V45" s="339" t="s">
        <v>906</v>
      </c>
      <c r="W45" s="638">
        <f t="shared" si="80"/>
        <v>10.89</v>
      </c>
      <c r="X45" s="638">
        <f t="shared" si="80"/>
        <v>1.4821272000000001</v>
      </c>
      <c r="Y45" s="638">
        <f t="shared" si="80"/>
        <v>2.0168999999999997</v>
      </c>
      <c r="Z45" s="638">
        <f t="shared" si="80"/>
        <v>1.8039999999999998</v>
      </c>
      <c r="AA45" s="638">
        <f t="shared" si="80"/>
        <v>6.0030000000000001</v>
      </c>
      <c r="AB45" s="638">
        <f t="shared" si="80"/>
        <v>3</v>
      </c>
      <c r="AC45" s="638">
        <f t="shared" si="80"/>
        <v>0</v>
      </c>
      <c r="AD45" s="330">
        <f>IFERROR(SUMPRODUCT(W42:AC42,W45:AC45)/ SUM(W42:AC42), 0)</f>
        <v>0</v>
      </c>
      <c r="AE45" s="495"/>
      <c r="AF45" s="144"/>
    </row>
    <row r="46" spans="1:32" s="144" customFormat="1">
      <c r="B46" s="426"/>
      <c r="C46" s="445"/>
      <c r="D46" s="427" t="s">
        <v>1153</v>
      </c>
      <c r="E46" s="329">
        <f>VLOOKUP(E6,'Feed parameters'!$A$2:$M$113,2, FALSE)</f>
        <v>90</v>
      </c>
      <c r="F46" s="262">
        <f>VLOOKUP(F6,'Feed parameters'!$A$2:$M$113,2, FALSE)</f>
        <v>15</v>
      </c>
      <c r="G46" s="262">
        <f>VLOOKUP(G6,FEED_P[[#All],[Feed]:[DE (fraction)]],2, FALSE)</f>
        <v>24.9</v>
      </c>
      <c r="H46" s="262">
        <f>VLOOKUP(H6,'Feed parameters'!$A$2:$M$113,2, FALSE)</f>
        <v>22</v>
      </c>
      <c r="I46" s="262">
        <f>VLOOKUP(I6,'Feed parameters'!$A$2:$M$113,2, FALSE)</f>
        <v>87</v>
      </c>
      <c r="J46" s="262">
        <f>VLOOKUP(J6,'Feed parameters'!$A$2:$M$113,2, FALSE)</f>
        <v>60</v>
      </c>
      <c r="K46" s="262">
        <f>VLOOKUP(K6,'Feed parameters'!$A$2:$M$113,2, FALSE)</f>
        <v>0</v>
      </c>
      <c r="L46" s="330">
        <f>IFERROR(SUMPRODUCT(E42:K42,E46:K46)/ SUM(E42:K42), 0)</f>
        <v>0</v>
      </c>
      <c r="M46" s="471" t="s">
        <v>1153</v>
      </c>
      <c r="N46" s="638">
        <f t="shared" ref="N46" si="83">N39</f>
        <v>90</v>
      </c>
      <c r="O46" s="638">
        <f t="shared" ref="O46:T46" si="84">O39</f>
        <v>15</v>
      </c>
      <c r="P46" s="638">
        <f t="shared" si="84"/>
        <v>24.9</v>
      </c>
      <c r="Q46" s="638">
        <f t="shared" si="84"/>
        <v>22</v>
      </c>
      <c r="R46" s="638">
        <f t="shared" si="84"/>
        <v>87</v>
      </c>
      <c r="S46" s="638">
        <f t="shared" si="84"/>
        <v>60</v>
      </c>
      <c r="T46" s="638">
        <f t="shared" si="84"/>
        <v>0</v>
      </c>
      <c r="U46" s="337">
        <f>IFERROR(SUMPRODUCT(N42:T42,N46:T46)/ SUM(N42:T42), 0)</f>
        <v>0</v>
      </c>
      <c r="V46" s="471" t="s">
        <v>1153</v>
      </c>
      <c r="W46" s="638">
        <f t="shared" si="80"/>
        <v>90</v>
      </c>
      <c r="X46" s="638">
        <f t="shared" si="80"/>
        <v>15</v>
      </c>
      <c r="Y46" s="638">
        <f t="shared" si="80"/>
        <v>24.9</v>
      </c>
      <c r="Z46" s="638">
        <f t="shared" si="80"/>
        <v>22</v>
      </c>
      <c r="AA46" s="638">
        <f t="shared" si="80"/>
        <v>87</v>
      </c>
      <c r="AB46" s="638">
        <f t="shared" si="80"/>
        <v>60</v>
      </c>
      <c r="AC46" s="638">
        <f t="shared" si="80"/>
        <v>0</v>
      </c>
      <c r="AD46" s="337">
        <f>IFERROR(SUMPRODUCT(W42:AC42,W46:AC46)/ SUM(W42:AC42), 0)</f>
        <v>0</v>
      </c>
      <c r="AE46" s="495">
        <f>L46*$G$3+U46*$P$3+AD46*$Y$3</f>
        <v>0</v>
      </c>
    </row>
    <row r="47" spans="1:32" s="144" customFormat="1">
      <c r="B47" s="426"/>
      <c r="C47" s="445"/>
      <c r="D47" s="427" t="s">
        <v>1171</v>
      </c>
      <c r="E47" s="329">
        <f t="shared" ref="E47:K47" si="85">IFERROR((E42*E46)/SUMPRODUCT($E42:$K42,$E46:$K46), 0)</f>
        <v>0</v>
      </c>
      <c r="F47" s="262">
        <f t="shared" si="85"/>
        <v>0</v>
      </c>
      <c r="G47" s="262">
        <f t="shared" si="85"/>
        <v>0</v>
      </c>
      <c r="H47" s="262">
        <f t="shared" si="85"/>
        <v>0</v>
      </c>
      <c r="I47" s="262">
        <f t="shared" si="85"/>
        <v>0</v>
      </c>
      <c r="J47" s="262">
        <f t="shared" si="85"/>
        <v>0</v>
      </c>
      <c r="K47" s="262">
        <f t="shared" si="85"/>
        <v>0</v>
      </c>
      <c r="L47" s="330"/>
      <c r="M47" s="471" t="s">
        <v>1171</v>
      </c>
      <c r="N47" s="262">
        <f t="shared" ref="N47:T47" si="86">IFERROR((N42*N46)/SUMPRODUCT($N42:$T42,$N46:$T46), 0)</f>
        <v>0</v>
      </c>
      <c r="O47" s="262">
        <f t="shared" si="86"/>
        <v>0</v>
      </c>
      <c r="P47" s="262">
        <f t="shared" si="86"/>
        <v>0</v>
      </c>
      <c r="Q47" s="262">
        <f t="shared" si="86"/>
        <v>0</v>
      </c>
      <c r="R47" s="262">
        <f t="shared" si="86"/>
        <v>0</v>
      </c>
      <c r="S47" s="262">
        <f t="shared" si="86"/>
        <v>0</v>
      </c>
      <c r="T47" s="262">
        <f t="shared" si="86"/>
        <v>0</v>
      </c>
      <c r="U47" s="337"/>
      <c r="V47" s="471" t="s">
        <v>1171</v>
      </c>
      <c r="W47" s="262">
        <f>IFERROR((W42*W46)/SUMPRODUCT($W42:$AC42,$W46:$AC46), 0)</f>
        <v>0</v>
      </c>
      <c r="X47" s="262">
        <f t="shared" ref="X47" si="87">IFERROR((X42*X46)/SUMPRODUCT($W42:$AC42,$W46:$AC46), 0)</f>
        <v>0</v>
      </c>
      <c r="Y47" s="262">
        <f t="shared" ref="Y47" si="88">IFERROR((Y42*Y46)/SUMPRODUCT($W42:$AC42,$W46:$AC46), 0)</f>
        <v>0</v>
      </c>
      <c r="Z47" s="262">
        <f t="shared" ref="Z47" si="89">IFERROR((Z42*Z46)/SUMPRODUCT($W42:$AC42,$W46:$AC46), 0)</f>
        <v>0</v>
      </c>
      <c r="AA47" s="262">
        <f t="shared" ref="AA47" si="90">IFERROR((AA42*AA46)/SUMPRODUCT($W42:$AC42,$W46:$AC46), 0)</f>
        <v>0</v>
      </c>
      <c r="AB47" s="262">
        <f t="shared" ref="AB47" si="91">IFERROR((AB42*AB46)/SUMPRODUCT($W42:$AC42,$W46:$AC46), 0)</f>
        <v>0</v>
      </c>
      <c r="AC47" s="262">
        <f t="shared" ref="AC47" si="92">IFERROR((AC42*AC46)/SUMPRODUCT($W42:$AC42,$W46:$AC46), 0)</f>
        <v>0</v>
      </c>
      <c r="AD47" s="337"/>
      <c r="AE47" s="495"/>
    </row>
    <row r="48" spans="1:32" s="144" customFormat="1">
      <c r="A48" s="262"/>
      <c r="B48" s="431"/>
      <c r="C48" s="449"/>
      <c r="D48" s="427"/>
      <c r="E48" s="329"/>
      <c r="F48" s="262"/>
      <c r="G48" s="262"/>
      <c r="H48" s="262"/>
      <c r="I48" s="262"/>
      <c r="J48" s="262"/>
      <c r="K48" s="262"/>
      <c r="L48" s="333"/>
      <c r="M48" s="339"/>
      <c r="N48" s="262"/>
      <c r="O48" s="262"/>
      <c r="P48" s="262"/>
      <c r="Q48" s="262"/>
      <c r="R48" s="262"/>
      <c r="S48" s="262"/>
      <c r="T48" s="262"/>
      <c r="U48" s="333"/>
      <c r="V48" s="339"/>
      <c r="W48" s="262"/>
      <c r="X48" s="262"/>
      <c r="Y48" s="262"/>
      <c r="Z48" s="262"/>
      <c r="AA48" s="262"/>
      <c r="AB48" s="262"/>
      <c r="AC48" s="262"/>
      <c r="AD48" s="333"/>
      <c r="AE48" s="495"/>
    </row>
    <row r="49" spans="2:32" s="291" customFormat="1">
      <c r="B49" s="432">
        <f>INPUTS!C23</f>
        <v>0</v>
      </c>
      <c r="C49" s="450"/>
      <c r="D49" s="425" t="s">
        <v>1170</v>
      </c>
      <c r="E49" s="327">
        <f>INPUTS!I56</f>
        <v>0</v>
      </c>
      <c r="F49" s="292">
        <f>INPUTS!I57</f>
        <v>0</v>
      </c>
      <c r="G49" s="292">
        <f>INPUTS!I58</f>
        <v>0</v>
      </c>
      <c r="H49" s="292">
        <f>INPUTS!I59</f>
        <v>0</v>
      </c>
      <c r="I49" s="292">
        <f>INPUTS!I60</f>
        <v>0</v>
      </c>
      <c r="J49" s="292">
        <f>INPUTS!I61</f>
        <v>0</v>
      </c>
      <c r="K49" s="292">
        <f>INPUTS!I62</f>
        <v>0</v>
      </c>
      <c r="L49" s="328"/>
      <c r="M49" s="487" t="s">
        <v>1170</v>
      </c>
      <c r="N49" s="292">
        <f>INPUTS!X56</f>
        <v>0</v>
      </c>
      <c r="O49" s="292">
        <f>INPUTS!X57</f>
        <v>0</v>
      </c>
      <c r="P49" s="292">
        <f>INPUTS!X58</f>
        <v>0</v>
      </c>
      <c r="Q49" s="292">
        <f>INPUTS!X59</f>
        <v>0</v>
      </c>
      <c r="R49" s="292">
        <f>INPUTS!X60</f>
        <v>0</v>
      </c>
      <c r="S49" s="292">
        <f>INPUTS!X61</f>
        <v>0</v>
      </c>
      <c r="T49" s="292">
        <f>INPUTS!X62</f>
        <v>0</v>
      </c>
      <c r="U49" s="336"/>
      <c r="V49" s="487" t="s">
        <v>1170</v>
      </c>
      <c r="W49" s="292">
        <f>INPUTS!AM56</f>
        <v>0</v>
      </c>
      <c r="X49" s="292">
        <f>INPUTS!AM57</f>
        <v>0</v>
      </c>
      <c r="Y49" s="292">
        <f>INPUTS!AM58</f>
        <v>0</v>
      </c>
      <c r="Z49" s="292">
        <f>INPUTS!AM59</f>
        <v>0</v>
      </c>
      <c r="AA49" s="292">
        <f>INPUTS!AM60</f>
        <v>0</v>
      </c>
      <c r="AB49" s="292">
        <f>INPUTS!AM61</f>
        <v>0</v>
      </c>
      <c r="AC49" s="292">
        <f>INPUTS!AM62</f>
        <v>0</v>
      </c>
      <c r="AD49" s="336"/>
      <c r="AE49" s="494"/>
    </row>
    <row r="50" spans="2:32" s="144" customFormat="1">
      <c r="B50" s="431"/>
      <c r="C50" s="449"/>
      <c r="D50" s="427" t="s">
        <v>815</v>
      </c>
      <c r="E50" s="329">
        <f>VLOOKUP(E6,'Feed parameters'!$A$2:$M$113,6, FALSE)</f>
        <v>14.4</v>
      </c>
      <c r="F50" s="262">
        <f>VLOOKUP(F6,'Feed parameters'!$A$2:$M$113,6, FALSE)</f>
        <v>1.65</v>
      </c>
      <c r="G50" s="262">
        <f>VLOOKUP(G6,FEED_P[[#All],[Feed]:[DE (fraction)]],6, FALSE)</f>
        <v>2.5148999999999999</v>
      </c>
      <c r="H50" s="262">
        <f>VLOOKUP(H6,'Feed parameters'!$A$2:$M$113,6, FALSE)</f>
        <v>1.21</v>
      </c>
      <c r="I50" s="262">
        <f>VLOOKUP(I6,'Feed parameters'!$A$2:$M$113,6, FALSE)</f>
        <v>3.3930000000000002</v>
      </c>
      <c r="J50" s="262">
        <f>VLOOKUP(J6,'Feed parameters'!$A$2:$M$113,6, FALSE)</f>
        <v>3.6</v>
      </c>
      <c r="K50" s="262">
        <f>VLOOKUP(K6,'Feed parameters'!$A$2:$M$113,6, FALSE)</f>
        <v>0</v>
      </c>
      <c r="L50" s="330">
        <f>IFERROR(SUMPRODUCT(E49:K49,E50:K50)/ SUM(E49:K49), 0)</f>
        <v>0</v>
      </c>
      <c r="M50" s="339" t="s">
        <v>815</v>
      </c>
      <c r="N50" s="638">
        <f>N43</f>
        <v>14.4</v>
      </c>
      <c r="O50" s="638">
        <f t="shared" ref="O50:T50" si="93">O43</f>
        <v>1.65</v>
      </c>
      <c r="P50" s="638">
        <f t="shared" si="93"/>
        <v>2.5148999999999999</v>
      </c>
      <c r="Q50" s="638">
        <f t="shared" si="93"/>
        <v>1.21</v>
      </c>
      <c r="R50" s="638">
        <f t="shared" si="93"/>
        <v>3.3930000000000002</v>
      </c>
      <c r="S50" s="638">
        <f t="shared" si="93"/>
        <v>3.6</v>
      </c>
      <c r="T50" s="638">
        <f t="shared" si="93"/>
        <v>0</v>
      </c>
      <c r="U50" s="337">
        <f>IFERROR(SUMPRODUCT(N49:T49,N50:T50)/ SUM(N49:T49), 0)</f>
        <v>0</v>
      </c>
      <c r="V50" s="339" t="s">
        <v>815</v>
      </c>
      <c r="W50" s="638">
        <f>W43</f>
        <v>14.4</v>
      </c>
      <c r="X50" s="638">
        <f t="shared" ref="X50:AC50" si="94">X43</f>
        <v>1.65</v>
      </c>
      <c r="Y50" s="638">
        <f t="shared" si="94"/>
        <v>2.5148999999999999</v>
      </c>
      <c r="Z50" s="638">
        <f t="shared" si="94"/>
        <v>1.21</v>
      </c>
      <c r="AA50" s="638">
        <f t="shared" si="94"/>
        <v>3.3930000000000002</v>
      </c>
      <c r="AB50" s="638">
        <f t="shared" si="94"/>
        <v>3.6</v>
      </c>
      <c r="AC50" s="638">
        <f t="shared" si="94"/>
        <v>0</v>
      </c>
      <c r="AD50" s="337">
        <f>IFERROR(SUMPRODUCT(W49:AC49,W50:AC50)/ SUM(W49:AC49), 0)</f>
        <v>0</v>
      </c>
      <c r="AE50" s="495">
        <f>L50*$G$3+U50*$P$3</f>
        <v>0</v>
      </c>
      <c r="AF50" s="407" t="e">
        <f>L50*$G$3/(L53*0.01)+U50*$P$3/(U53*0.01)</f>
        <v>#DIV/0!</v>
      </c>
    </row>
    <row r="51" spans="2:32" s="144" customFormat="1">
      <c r="B51" s="431"/>
      <c r="C51" s="449"/>
      <c r="D51" s="427" t="s">
        <v>816</v>
      </c>
      <c r="E51" s="329">
        <f>VLOOKUP(E6,'Feed parameters'!$A$2:$M$113,7, FALSE)</f>
        <v>0.79859999999999998</v>
      </c>
      <c r="F51" s="262">
        <f>VLOOKUP(F6,'Feed parameters'!$A$2:$M$113,7, FALSE)</f>
        <v>0.65213596800000007</v>
      </c>
      <c r="G51" s="262">
        <f>VLOOKUP(G6,FEED_P[[#All],[Feed]:[DE (fraction)]],7, FALSE)</f>
        <v>0.53459999999999996</v>
      </c>
      <c r="H51" s="262">
        <f>VLOOKUP(H6,'Feed parameters'!$A$2:$M$113,7, FALSE)</f>
        <v>0.5411999999999999</v>
      </c>
      <c r="I51" s="262">
        <f>VLOOKUP(I6,'Feed parameters'!$A$2:$M$113,7, FALSE)</f>
        <v>0.45539999999999997</v>
      </c>
      <c r="J51" s="262">
        <f>VLOOKUP(J6,'Feed parameters'!$A$2:$M$113,7, FALSE)</f>
        <v>0.33</v>
      </c>
      <c r="K51" s="262">
        <f>VLOOKUP(K6,'Feed parameters'!$A$2:$M$113,7, FALSE)</f>
        <v>0</v>
      </c>
      <c r="L51" s="330">
        <f>IFERROR(SUMPRODUCT(E49:K49,E51:K51)/ SUM(E49:K49), 0)</f>
        <v>0</v>
      </c>
      <c r="M51" s="339" t="s">
        <v>816</v>
      </c>
      <c r="N51" s="638">
        <f t="shared" ref="N51" si="95">N44</f>
        <v>0.79859999999999998</v>
      </c>
      <c r="O51" s="638">
        <f t="shared" ref="O51:T51" si="96">O44</f>
        <v>0.65213596800000007</v>
      </c>
      <c r="P51" s="638">
        <f t="shared" si="96"/>
        <v>0.53459999999999996</v>
      </c>
      <c r="Q51" s="638">
        <f t="shared" si="96"/>
        <v>0.5411999999999999</v>
      </c>
      <c r="R51" s="638">
        <f t="shared" si="96"/>
        <v>0.45539999999999997</v>
      </c>
      <c r="S51" s="638">
        <f t="shared" si="96"/>
        <v>0.33</v>
      </c>
      <c r="T51" s="638">
        <f t="shared" si="96"/>
        <v>0</v>
      </c>
      <c r="U51" s="337">
        <f>IFERROR(SUMPRODUCT(N49:T49,N51:T51)/ SUM(N49:T49), 0)</f>
        <v>0</v>
      </c>
      <c r="V51" s="339" t="s">
        <v>816</v>
      </c>
      <c r="W51" s="638">
        <f t="shared" ref="W51:AC53" si="97">W44</f>
        <v>0.79859999999999998</v>
      </c>
      <c r="X51" s="638">
        <f t="shared" si="97"/>
        <v>0.65213596800000007</v>
      </c>
      <c r="Y51" s="638">
        <f t="shared" si="97"/>
        <v>0.53459999999999996</v>
      </c>
      <c r="Z51" s="638">
        <f t="shared" si="97"/>
        <v>0.5411999999999999</v>
      </c>
      <c r="AA51" s="638">
        <f t="shared" si="97"/>
        <v>0.45539999999999997</v>
      </c>
      <c r="AB51" s="638">
        <f t="shared" si="97"/>
        <v>0.33</v>
      </c>
      <c r="AC51" s="638">
        <f t="shared" si="97"/>
        <v>0</v>
      </c>
      <c r="AD51" s="337">
        <f>IFERROR(SUMPRODUCT(W49:AC49,W51:AC51)/ SUM(W49:AC49), 0)</f>
        <v>0</v>
      </c>
      <c r="AE51" s="495">
        <f>L51*$G$3+U51*$P$3</f>
        <v>0</v>
      </c>
    </row>
    <row r="52" spans="2:32" s="144" customFormat="1">
      <c r="B52" s="431"/>
      <c r="C52" s="449"/>
      <c r="D52" s="427" t="s">
        <v>906</v>
      </c>
      <c r="E52" s="329">
        <f>VLOOKUP(E6,'Feed parameters'!$A$2:$M$113,4, FALSE)</f>
        <v>10.89</v>
      </c>
      <c r="F52" s="262">
        <f>VLOOKUP(F6,'Feed parameters'!$A$2:$M$113,4, FALSE)</f>
        <v>1.4821272000000001</v>
      </c>
      <c r="G52" s="262">
        <f>VLOOKUP(G6,FEED_P[[#All],[Feed]:[DE (fraction)]],4, FALSE)</f>
        <v>2.0168999999999997</v>
      </c>
      <c r="H52" s="262">
        <f>VLOOKUP(H6,'Feed parameters'!$A$2:$M$113,4, FALSE)</f>
        <v>1.8039999999999998</v>
      </c>
      <c r="I52" s="262">
        <f>VLOOKUP(I6,'Feed parameters'!$A$2:$M$113,4, FALSE)</f>
        <v>6.0030000000000001</v>
      </c>
      <c r="J52" s="262">
        <f>VLOOKUP(J6,'Feed parameters'!$A$2:$M$113,4, FALSE)</f>
        <v>3</v>
      </c>
      <c r="K52" s="262">
        <f>VLOOKUP(K6,'Feed parameters'!$A$2:$M$113,4, FALSE)</f>
        <v>0</v>
      </c>
      <c r="L52" s="330">
        <f>IFERROR(SUMPRODUCT(E49:K49,E52:K52)/ SUM(E49:K49), 0)</f>
        <v>0</v>
      </c>
      <c r="M52" s="339" t="s">
        <v>906</v>
      </c>
      <c r="N52" s="638">
        <f t="shared" ref="N52" si="98">N45</f>
        <v>10.89</v>
      </c>
      <c r="O52" s="638">
        <f t="shared" ref="O52:T52" si="99">O45</f>
        <v>1.4821272000000001</v>
      </c>
      <c r="P52" s="638">
        <f t="shared" si="99"/>
        <v>2.0168999999999997</v>
      </c>
      <c r="Q52" s="638">
        <f t="shared" si="99"/>
        <v>1.8039999999999998</v>
      </c>
      <c r="R52" s="638">
        <f t="shared" si="99"/>
        <v>6.0030000000000001</v>
      </c>
      <c r="S52" s="638">
        <f t="shared" si="99"/>
        <v>3</v>
      </c>
      <c r="T52" s="638">
        <f t="shared" si="99"/>
        <v>0</v>
      </c>
      <c r="U52" s="337">
        <f>IFERROR(SUMPRODUCT(N49:T49,N52:T52)/ SUM(N49:T49), 0)</f>
        <v>0</v>
      </c>
      <c r="V52" s="339" t="s">
        <v>906</v>
      </c>
      <c r="W52" s="638">
        <f t="shared" si="97"/>
        <v>10.89</v>
      </c>
      <c r="X52" s="638">
        <f t="shared" si="97"/>
        <v>1.4821272000000001</v>
      </c>
      <c r="Y52" s="638">
        <f t="shared" si="97"/>
        <v>2.0168999999999997</v>
      </c>
      <c r="Z52" s="638">
        <f t="shared" si="97"/>
        <v>1.8039999999999998</v>
      </c>
      <c r="AA52" s="638">
        <f t="shared" si="97"/>
        <v>6.0030000000000001</v>
      </c>
      <c r="AB52" s="638">
        <f t="shared" si="97"/>
        <v>3</v>
      </c>
      <c r="AC52" s="638">
        <f t="shared" si="97"/>
        <v>0</v>
      </c>
      <c r="AD52" s="337">
        <f>IFERROR(SUMPRODUCT(W49:AC49,W52:AC52)/ SUM(W49:AC49), 0)</f>
        <v>0</v>
      </c>
      <c r="AE52" s="495"/>
    </row>
    <row r="53" spans="2:32" s="144" customFormat="1">
      <c r="B53" s="426"/>
      <c r="C53" s="445"/>
      <c r="D53" s="427" t="s">
        <v>1153</v>
      </c>
      <c r="E53" s="329">
        <f>VLOOKUP(E6,'Feed parameters'!$A$2:$M$113,2, FALSE)</f>
        <v>90</v>
      </c>
      <c r="F53" s="262">
        <f>VLOOKUP(F6,'Feed parameters'!$A$2:$M$113,2, FALSE)</f>
        <v>15</v>
      </c>
      <c r="G53" s="262">
        <f>VLOOKUP(G6,FEED_P[[#All],[Feed]:[DE (fraction)]],2, FALSE)</f>
        <v>24.9</v>
      </c>
      <c r="H53" s="262">
        <f>VLOOKUP(H6,'Feed parameters'!$A$2:$M$113,2, FALSE)</f>
        <v>22</v>
      </c>
      <c r="I53" s="262">
        <f>VLOOKUP(I6,'Feed parameters'!$A$2:$M$113,2, FALSE)</f>
        <v>87</v>
      </c>
      <c r="J53" s="262">
        <f>VLOOKUP(J6,'Feed parameters'!$A$2:$M$113,2, FALSE)</f>
        <v>60</v>
      </c>
      <c r="K53" s="262">
        <f>VLOOKUP(K6,'Feed parameters'!$A$2:$M$113,2, FALSE)</f>
        <v>0</v>
      </c>
      <c r="L53" s="330">
        <f>IFERROR(SUMPRODUCT(E49:K49,E53:K53)/ SUM(E49:K49), 0)</f>
        <v>0</v>
      </c>
      <c r="M53" s="471" t="s">
        <v>1153</v>
      </c>
      <c r="N53" s="638">
        <f t="shared" ref="N53" si="100">N46</f>
        <v>90</v>
      </c>
      <c r="O53" s="638">
        <f t="shared" ref="O53:T53" si="101">O46</f>
        <v>15</v>
      </c>
      <c r="P53" s="638">
        <f t="shared" si="101"/>
        <v>24.9</v>
      </c>
      <c r="Q53" s="638">
        <f t="shared" si="101"/>
        <v>22</v>
      </c>
      <c r="R53" s="638">
        <f t="shared" si="101"/>
        <v>87</v>
      </c>
      <c r="S53" s="638">
        <f t="shared" si="101"/>
        <v>60</v>
      </c>
      <c r="T53" s="638">
        <f t="shared" si="101"/>
        <v>0</v>
      </c>
      <c r="U53" s="337">
        <f>IFERROR(SUMPRODUCT(N49:T49,N53:T53)/ SUM(N49:T49), 0)</f>
        <v>0</v>
      </c>
      <c r="V53" s="471" t="s">
        <v>1153</v>
      </c>
      <c r="W53" s="638">
        <f t="shared" si="97"/>
        <v>90</v>
      </c>
      <c r="X53" s="638">
        <f t="shared" si="97"/>
        <v>15</v>
      </c>
      <c r="Y53" s="638">
        <f t="shared" si="97"/>
        <v>24.9</v>
      </c>
      <c r="Z53" s="638">
        <f t="shared" si="97"/>
        <v>22</v>
      </c>
      <c r="AA53" s="638">
        <f t="shared" si="97"/>
        <v>87</v>
      </c>
      <c r="AB53" s="638">
        <f t="shared" si="97"/>
        <v>60</v>
      </c>
      <c r="AC53" s="638">
        <f t="shared" si="97"/>
        <v>0</v>
      </c>
      <c r="AD53" s="337">
        <f>IFERROR(SUMPRODUCT(W49:AC49,W53:AC53)/ SUM(W49:AC49), 0)</f>
        <v>0</v>
      </c>
      <c r="AE53" s="495">
        <f>L53*$G$3+U53*$P$3</f>
        <v>0</v>
      </c>
    </row>
    <row r="54" spans="2:32" s="144" customFormat="1">
      <c r="B54" s="426"/>
      <c r="C54" s="445"/>
      <c r="D54" s="427" t="s">
        <v>1171</v>
      </c>
      <c r="E54" s="329">
        <f t="shared" ref="E54:K54" si="102">IFERROR((E49*E53)/SUMPRODUCT($E49:$K49,$E53:$K53), 0)</f>
        <v>0</v>
      </c>
      <c r="F54" s="262">
        <f t="shared" si="102"/>
        <v>0</v>
      </c>
      <c r="G54" s="262">
        <f t="shared" si="102"/>
        <v>0</v>
      </c>
      <c r="H54" s="262">
        <f t="shared" si="102"/>
        <v>0</v>
      </c>
      <c r="I54" s="262">
        <f t="shared" si="102"/>
        <v>0</v>
      </c>
      <c r="J54" s="262">
        <f t="shared" si="102"/>
        <v>0</v>
      </c>
      <c r="K54" s="262">
        <f t="shared" si="102"/>
        <v>0</v>
      </c>
      <c r="L54" s="330"/>
      <c r="M54" s="471" t="s">
        <v>1171</v>
      </c>
      <c r="N54" s="262">
        <f t="shared" ref="N54:T54" si="103">IFERROR((N49*N53)/SUMPRODUCT($N49:$T49,$N53:$T53), 0)</f>
        <v>0</v>
      </c>
      <c r="O54" s="262">
        <f t="shared" si="103"/>
        <v>0</v>
      </c>
      <c r="P54" s="262">
        <f t="shared" si="103"/>
        <v>0</v>
      </c>
      <c r="Q54" s="262">
        <f t="shared" si="103"/>
        <v>0</v>
      </c>
      <c r="R54" s="262">
        <f t="shared" si="103"/>
        <v>0</v>
      </c>
      <c r="S54" s="262">
        <f t="shared" si="103"/>
        <v>0</v>
      </c>
      <c r="T54" s="262">
        <f t="shared" si="103"/>
        <v>0</v>
      </c>
      <c r="U54" s="337"/>
      <c r="V54" s="471" t="s">
        <v>1171</v>
      </c>
      <c r="W54" s="262">
        <f>IFERROR((W49*W53)/SUMPRODUCT($W49:$AC49,$W53:$AC53), 0)</f>
        <v>0</v>
      </c>
      <c r="X54" s="262">
        <f t="shared" ref="X54" si="104">IFERROR((X49*X53)/SUMPRODUCT($W49:$AC49,$W53:$AC53), 0)</f>
        <v>0</v>
      </c>
      <c r="Y54" s="262">
        <f t="shared" ref="Y54" si="105">IFERROR((Y49*Y53)/SUMPRODUCT($W49:$AC49,$W53:$AC53), 0)</f>
        <v>0</v>
      </c>
      <c r="Z54" s="262">
        <f t="shared" ref="Z54" si="106">IFERROR((Z49*Z53)/SUMPRODUCT($W49:$AC49,$W53:$AC53), 0)</f>
        <v>0</v>
      </c>
      <c r="AA54" s="262">
        <f t="shared" ref="AA54" si="107">IFERROR((AA49*AA53)/SUMPRODUCT($W49:$AC49,$W53:$AC53), 0)</f>
        <v>0</v>
      </c>
      <c r="AB54" s="262">
        <f t="shared" ref="AB54" si="108">IFERROR((AB49*AB53)/SUMPRODUCT($W49:$AC49,$W53:$AC53), 0)</f>
        <v>0</v>
      </c>
      <c r="AC54" s="262">
        <f t="shared" ref="AC54" si="109">IFERROR((AC49*AC53)/SUMPRODUCT($W49:$AC49,$W53:$AC53), 0)</f>
        <v>0</v>
      </c>
      <c r="AD54" s="337"/>
      <c r="AE54" s="495"/>
    </row>
    <row r="55" spans="2:32" s="144" customFormat="1">
      <c r="B55" s="433"/>
      <c r="C55" s="451"/>
      <c r="D55" s="427"/>
      <c r="E55" s="331"/>
      <c r="F55" s="184"/>
      <c r="G55" s="184"/>
      <c r="H55" s="184"/>
      <c r="I55" s="184"/>
      <c r="J55" s="184"/>
      <c r="K55" s="184"/>
      <c r="L55" s="332"/>
      <c r="M55" s="340"/>
      <c r="N55" s="184"/>
      <c r="O55" s="184"/>
      <c r="P55" s="184"/>
      <c r="Q55" s="184"/>
      <c r="R55" s="184"/>
      <c r="S55" s="184"/>
      <c r="T55" s="184"/>
      <c r="U55" s="338"/>
      <c r="V55" s="340"/>
      <c r="W55" s="184"/>
      <c r="X55" s="184"/>
      <c r="Y55" s="184"/>
      <c r="Z55" s="184"/>
      <c r="AA55" s="184"/>
      <c r="AB55" s="184"/>
      <c r="AC55" s="184"/>
      <c r="AD55" s="338"/>
      <c r="AE55" s="495"/>
    </row>
    <row r="56" spans="2:32" s="292" customFormat="1">
      <c r="B56" s="432">
        <f>INPUTS!C24</f>
        <v>0</v>
      </c>
      <c r="C56" s="450"/>
      <c r="D56" s="425" t="s">
        <v>1170</v>
      </c>
      <c r="E56" s="327">
        <f>INPUTS!J56</f>
        <v>0</v>
      </c>
      <c r="F56" s="292">
        <f>INPUTS!J57</f>
        <v>0</v>
      </c>
      <c r="G56" s="292">
        <f>INPUTS!J58</f>
        <v>0</v>
      </c>
      <c r="H56" s="292">
        <f>INPUTS!J59</f>
        <v>0</v>
      </c>
      <c r="I56" s="292">
        <f>INPUTS!J60</f>
        <v>0</v>
      </c>
      <c r="J56" s="292">
        <f>INPUTS!J61</f>
        <v>0</v>
      </c>
      <c r="K56" s="292">
        <f>INPUTS!J62</f>
        <v>0</v>
      </c>
      <c r="L56" s="328"/>
      <c r="M56" s="487" t="s">
        <v>1170</v>
      </c>
      <c r="N56" s="292">
        <f>INPUTS!Y56</f>
        <v>0</v>
      </c>
      <c r="O56" s="292">
        <f>INPUTS!Y57</f>
        <v>0</v>
      </c>
      <c r="P56" s="292">
        <f>INPUTS!Y58</f>
        <v>0</v>
      </c>
      <c r="Q56" s="292">
        <f>INPUTS!Y59</f>
        <v>0</v>
      </c>
      <c r="R56" s="292">
        <f>INPUTS!Y60</f>
        <v>0</v>
      </c>
      <c r="S56" s="292">
        <f>INPUTS!Y61</f>
        <v>0</v>
      </c>
      <c r="T56" s="292">
        <f>INPUTS!Y62</f>
        <v>0</v>
      </c>
      <c r="U56" s="336"/>
      <c r="V56" s="487" t="s">
        <v>1170</v>
      </c>
      <c r="W56" s="292">
        <f>INPUTS!AN56</f>
        <v>0</v>
      </c>
      <c r="X56" s="292">
        <f>INPUTS!AN57</f>
        <v>0</v>
      </c>
      <c r="Y56" s="292">
        <f>INPUTS!AN58</f>
        <v>0</v>
      </c>
      <c r="Z56" s="292">
        <f>INPUTS!AN59</f>
        <v>0</v>
      </c>
      <c r="AA56" s="292">
        <f>INPUTS!AN60</f>
        <v>0</v>
      </c>
      <c r="AB56" s="292">
        <f>INPUTS!AN61</f>
        <v>0</v>
      </c>
      <c r="AC56" s="292">
        <f>INPUTS!AN62</f>
        <v>0</v>
      </c>
      <c r="AD56" s="336"/>
      <c r="AE56" s="494"/>
    </row>
    <row r="57" spans="2:32" s="144" customFormat="1">
      <c r="B57" s="429"/>
      <c r="C57" s="447"/>
      <c r="D57" s="427" t="s">
        <v>815</v>
      </c>
      <c r="E57" s="331">
        <f>VLOOKUP(E6,'Feed parameters'!$A$2:$M$113,6, FALSE)</f>
        <v>14.4</v>
      </c>
      <c r="F57" s="184">
        <f>VLOOKUP(F6,'Feed parameters'!$A$2:$M$113,6, FALSE)</f>
        <v>1.65</v>
      </c>
      <c r="G57" s="184">
        <f>VLOOKUP(G6,FEED_P[[#All],[Feed]:[DE (fraction)]],6, FALSE)</f>
        <v>2.5148999999999999</v>
      </c>
      <c r="H57" s="184">
        <f>VLOOKUP(H6,'Feed parameters'!$A$2:$M$113,6, FALSE)</f>
        <v>1.21</v>
      </c>
      <c r="I57" s="184">
        <f>VLOOKUP(I6,'Feed parameters'!$A$2:$M$113,6, FALSE)</f>
        <v>3.3930000000000002</v>
      </c>
      <c r="J57" s="184">
        <f>VLOOKUP(J6,'Feed parameters'!$A$2:$M$113,6, FALSE)</f>
        <v>3.6</v>
      </c>
      <c r="K57" s="184">
        <f>VLOOKUP(K6,'Feed parameters'!$A$2:$M$113,6, FALSE)</f>
        <v>0</v>
      </c>
      <c r="L57" s="332">
        <f>IFERROR(SUMPRODUCT(E56:K56,E57:K57)/ SUM(E56:K56),0)</f>
        <v>0</v>
      </c>
      <c r="M57" s="339" t="s">
        <v>815</v>
      </c>
      <c r="N57" s="638">
        <f>N50</f>
        <v>14.4</v>
      </c>
      <c r="O57" s="638">
        <f t="shared" ref="O57:T57" si="110">O50</f>
        <v>1.65</v>
      </c>
      <c r="P57" s="638">
        <f t="shared" si="110"/>
        <v>2.5148999999999999</v>
      </c>
      <c r="Q57" s="638">
        <f t="shared" si="110"/>
        <v>1.21</v>
      </c>
      <c r="R57" s="638">
        <f t="shared" si="110"/>
        <v>3.3930000000000002</v>
      </c>
      <c r="S57" s="638">
        <f t="shared" si="110"/>
        <v>3.6</v>
      </c>
      <c r="T57" s="638">
        <f t="shared" si="110"/>
        <v>0</v>
      </c>
      <c r="U57" s="338">
        <f>IFERROR(SUMPRODUCT(N56:T56,N57:T57)/ SUM(N56:T56),0)</f>
        <v>0</v>
      </c>
      <c r="V57" s="339" t="s">
        <v>815</v>
      </c>
      <c r="W57" s="638">
        <f>W50</f>
        <v>14.4</v>
      </c>
      <c r="X57" s="638">
        <f t="shared" ref="X57:AC57" si="111">X50</f>
        <v>1.65</v>
      </c>
      <c r="Y57" s="638">
        <f t="shared" si="111"/>
        <v>2.5148999999999999</v>
      </c>
      <c r="Z57" s="638">
        <f t="shared" si="111"/>
        <v>1.21</v>
      </c>
      <c r="AA57" s="638">
        <f t="shared" si="111"/>
        <v>3.3930000000000002</v>
      </c>
      <c r="AB57" s="638">
        <f t="shared" si="111"/>
        <v>3.6</v>
      </c>
      <c r="AC57" s="638">
        <f t="shared" si="111"/>
        <v>0</v>
      </c>
      <c r="AD57" s="338">
        <f>IFERROR(SUMPRODUCT(W56:AC56,W57:AC57)/ SUM(W56:AC56),0)</f>
        <v>0</v>
      </c>
      <c r="AE57" s="495">
        <f>L57*$G$3+U57*$P$3</f>
        <v>0</v>
      </c>
      <c r="AF57" s="407" t="e">
        <f>L57*$G$3/(L60*0.01)+U57*$P$3/(U60*0.01)</f>
        <v>#DIV/0!</v>
      </c>
    </row>
    <row r="58" spans="2:32" s="144" customFormat="1">
      <c r="B58" s="433"/>
      <c r="C58" s="451"/>
      <c r="D58" s="427" t="s">
        <v>816</v>
      </c>
      <c r="E58" s="331">
        <f>VLOOKUP(E6,'Feed parameters'!$A$2:$M$113,7, FALSE)</f>
        <v>0.79859999999999998</v>
      </c>
      <c r="F58" s="184">
        <f>VLOOKUP(F6,'Feed parameters'!$A$2:$M$113,7, FALSE)</f>
        <v>0.65213596800000007</v>
      </c>
      <c r="G58" s="184">
        <f>VLOOKUP(G6,FEED_P[[#All],[Feed]:[DE (fraction)]],7, FALSE)</f>
        <v>0.53459999999999996</v>
      </c>
      <c r="H58" s="184">
        <f>VLOOKUP(H6,'Feed parameters'!$A$2:$M$113,7, FALSE)</f>
        <v>0.5411999999999999</v>
      </c>
      <c r="I58" s="184">
        <f>VLOOKUP(I6,'Feed parameters'!$A$2:$M$113,7, FALSE)</f>
        <v>0.45539999999999997</v>
      </c>
      <c r="J58" s="184">
        <f>VLOOKUP(J6,'Feed parameters'!$A$2:$M$113,7, FALSE)</f>
        <v>0.33</v>
      </c>
      <c r="K58" s="184">
        <f>VLOOKUP(K6,'Feed parameters'!$A$2:$M$113,7, FALSE)</f>
        <v>0</v>
      </c>
      <c r="L58" s="332">
        <f>IFERROR(SUMPRODUCT(E56:K56,E58:K58)/ SUM(E56:K56),0)</f>
        <v>0</v>
      </c>
      <c r="M58" s="339" t="s">
        <v>816</v>
      </c>
      <c r="N58" s="638">
        <f t="shared" ref="N58" si="112">N51</f>
        <v>0.79859999999999998</v>
      </c>
      <c r="O58" s="638">
        <f t="shared" ref="O58:T58" si="113">O51</f>
        <v>0.65213596800000007</v>
      </c>
      <c r="P58" s="638">
        <f t="shared" si="113"/>
        <v>0.53459999999999996</v>
      </c>
      <c r="Q58" s="638">
        <f t="shared" si="113"/>
        <v>0.5411999999999999</v>
      </c>
      <c r="R58" s="638">
        <f t="shared" si="113"/>
        <v>0.45539999999999997</v>
      </c>
      <c r="S58" s="638">
        <f t="shared" si="113"/>
        <v>0.33</v>
      </c>
      <c r="T58" s="638">
        <f t="shared" si="113"/>
        <v>0</v>
      </c>
      <c r="U58" s="338">
        <f>IFERROR(SUMPRODUCT(N56:T56,N58:T58)/ SUM(N56:T56),0)</f>
        <v>0</v>
      </c>
      <c r="V58" s="339" t="s">
        <v>816</v>
      </c>
      <c r="W58" s="638">
        <f t="shared" ref="W58:AC60" si="114">W51</f>
        <v>0.79859999999999998</v>
      </c>
      <c r="X58" s="638">
        <f t="shared" si="114"/>
        <v>0.65213596800000007</v>
      </c>
      <c r="Y58" s="638">
        <f t="shared" si="114"/>
        <v>0.53459999999999996</v>
      </c>
      <c r="Z58" s="638">
        <f t="shared" si="114"/>
        <v>0.5411999999999999</v>
      </c>
      <c r="AA58" s="638">
        <f t="shared" si="114"/>
        <v>0.45539999999999997</v>
      </c>
      <c r="AB58" s="638">
        <f t="shared" si="114"/>
        <v>0.33</v>
      </c>
      <c r="AC58" s="638">
        <f t="shared" si="114"/>
        <v>0</v>
      </c>
      <c r="AD58" s="338">
        <f>IFERROR(SUMPRODUCT(W56:AC56,W58:AC58)/ SUM(W56:AC56),0)</f>
        <v>0</v>
      </c>
      <c r="AE58" s="495">
        <f>L58*$G$3+U58*$P$3</f>
        <v>0</v>
      </c>
    </row>
    <row r="59" spans="2:32" s="144" customFormat="1">
      <c r="B59" s="431"/>
      <c r="C59" s="449"/>
      <c r="D59" s="427" t="s">
        <v>906</v>
      </c>
      <c r="E59" s="329">
        <f>VLOOKUP(E6,'Feed parameters'!$A$2:$M$113,4, FALSE)</f>
        <v>10.89</v>
      </c>
      <c r="F59" s="262">
        <f>VLOOKUP(F6,'Feed parameters'!$A$2:$M$113,4, FALSE)</f>
        <v>1.4821272000000001</v>
      </c>
      <c r="G59" s="262">
        <f>VLOOKUP(G6,FEED_P[[#All],[Feed]:[DE (fraction)]],4, FALSE)</f>
        <v>2.0168999999999997</v>
      </c>
      <c r="H59" s="262">
        <f>VLOOKUP(H6,'Feed parameters'!$A$2:$M$113,4, FALSE)</f>
        <v>1.8039999999999998</v>
      </c>
      <c r="I59" s="262">
        <f>VLOOKUP(I6,'Feed parameters'!$A$2:$M$113,4, FALSE)</f>
        <v>6.0030000000000001</v>
      </c>
      <c r="J59" s="262">
        <f>VLOOKUP(J6,'Feed parameters'!$A$2:$M$113,4, FALSE)</f>
        <v>3</v>
      </c>
      <c r="K59" s="262">
        <f>VLOOKUP(K6,'Feed parameters'!$A$2:$M$113,4, FALSE)</f>
        <v>0</v>
      </c>
      <c r="L59" s="330">
        <f>IFERROR(SUMPRODUCT(E56:K56,E59:K59)/ SUM(E56:K56),0)</f>
        <v>0</v>
      </c>
      <c r="M59" s="339" t="s">
        <v>906</v>
      </c>
      <c r="N59" s="638">
        <f t="shared" ref="N59" si="115">N52</f>
        <v>10.89</v>
      </c>
      <c r="O59" s="638">
        <f t="shared" ref="O59:T59" si="116">O52</f>
        <v>1.4821272000000001</v>
      </c>
      <c r="P59" s="638">
        <f t="shared" si="116"/>
        <v>2.0168999999999997</v>
      </c>
      <c r="Q59" s="638">
        <f t="shared" si="116"/>
        <v>1.8039999999999998</v>
      </c>
      <c r="R59" s="638">
        <f t="shared" si="116"/>
        <v>6.0030000000000001</v>
      </c>
      <c r="S59" s="638">
        <f t="shared" si="116"/>
        <v>3</v>
      </c>
      <c r="T59" s="638">
        <f t="shared" si="116"/>
        <v>0</v>
      </c>
      <c r="U59" s="337">
        <f>IFERROR(SUMPRODUCT(N56:T56,N59:T59)/ SUM(N56:T56),0)</f>
        <v>0</v>
      </c>
      <c r="V59" s="339" t="s">
        <v>906</v>
      </c>
      <c r="W59" s="638">
        <f t="shared" si="114"/>
        <v>10.89</v>
      </c>
      <c r="X59" s="638">
        <f t="shared" si="114"/>
        <v>1.4821272000000001</v>
      </c>
      <c r="Y59" s="638">
        <f t="shared" si="114"/>
        <v>2.0168999999999997</v>
      </c>
      <c r="Z59" s="638">
        <f t="shared" si="114"/>
        <v>1.8039999999999998</v>
      </c>
      <c r="AA59" s="638">
        <f t="shared" si="114"/>
        <v>6.0030000000000001</v>
      </c>
      <c r="AB59" s="638">
        <f t="shared" si="114"/>
        <v>3</v>
      </c>
      <c r="AC59" s="638">
        <f t="shared" si="114"/>
        <v>0</v>
      </c>
      <c r="AD59" s="337">
        <f>IFERROR(SUMPRODUCT(W56:AC56,W59:AC59)/ SUM(W56:AC56),0)</f>
        <v>0</v>
      </c>
      <c r="AE59" s="495"/>
    </row>
    <row r="60" spans="2:32" s="144" customFormat="1">
      <c r="B60" s="426"/>
      <c r="C60" s="445"/>
      <c r="D60" s="427" t="s">
        <v>1153</v>
      </c>
      <c r="E60" s="329">
        <f>VLOOKUP(E6,'Feed parameters'!$A$2:$M$113,2, FALSE)</f>
        <v>90</v>
      </c>
      <c r="F60" s="262">
        <f>VLOOKUP(F6,'Feed parameters'!$A$2:$M$113,2, FALSE)</f>
        <v>15</v>
      </c>
      <c r="G60" s="262">
        <f>VLOOKUP(G6,FEED_P[[#All],[Feed]:[DE (fraction)]],2, FALSE)</f>
        <v>24.9</v>
      </c>
      <c r="H60" s="262">
        <f>VLOOKUP(H6,'Feed parameters'!$A$2:$M$113,2, FALSE)</f>
        <v>22</v>
      </c>
      <c r="I60" s="262">
        <f>VLOOKUP(I6,'Feed parameters'!$A$2:$M$113,2, FALSE)</f>
        <v>87</v>
      </c>
      <c r="J60" s="262">
        <f>VLOOKUP(J6,'Feed parameters'!$A$2:$M$113,2, FALSE)</f>
        <v>60</v>
      </c>
      <c r="K60" s="262">
        <f>VLOOKUP(K6,'Feed parameters'!$A$2:$M$113,2, FALSE)</f>
        <v>0</v>
      </c>
      <c r="L60" s="330">
        <f>IFERROR(SUMPRODUCT(E56:K56,E60:K60)/ SUM(E56:K56),0)</f>
        <v>0</v>
      </c>
      <c r="M60" s="471" t="s">
        <v>1153</v>
      </c>
      <c r="N60" s="638">
        <f t="shared" ref="N60" si="117">N53</f>
        <v>90</v>
      </c>
      <c r="O60" s="638">
        <f t="shared" ref="O60:T60" si="118">O53</f>
        <v>15</v>
      </c>
      <c r="P60" s="638">
        <f t="shared" si="118"/>
        <v>24.9</v>
      </c>
      <c r="Q60" s="638">
        <f t="shared" si="118"/>
        <v>22</v>
      </c>
      <c r="R60" s="638">
        <f t="shared" si="118"/>
        <v>87</v>
      </c>
      <c r="S60" s="638">
        <f t="shared" si="118"/>
        <v>60</v>
      </c>
      <c r="T60" s="638">
        <f t="shared" si="118"/>
        <v>0</v>
      </c>
      <c r="U60" s="337">
        <f>IFERROR(SUMPRODUCT(N56:T56,N60:T60)/ SUM(N56:T56),0)</f>
        <v>0</v>
      </c>
      <c r="V60" s="471" t="s">
        <v>1153</v>
      </c>
      <c r="W60" s="638">
        <f t="shared" si="114"/>
        <v>90</v>
      </c>
      <c r="X60" s="638">
        <f t="shared" si="114"/>
        <v>15</v>
      </c>
      <c r="Y60" s="638">
        <f t="shared" si="114"/>
        <v>24.9</v>
      </c>
      <c r="Z60" s="638">
        <f t="shared" si="114"/>
        <v>22</v>
      </c>
      <c r="AA60" s="638">
        <f t="shared" si="114"/>
        <v>87</v>
      </c>
      <c r="AB60" s="638">
        <f t="shared" si="114"/>
        <v>60</v>
      </c>
      <c r="AC60" s="638">
        <f t="shared" si="114"/>
        <v>0</v>
      </c>
      <c r="AD60" s="337">
        <f>IFERROR(SUMPRODUCT(W56:AC56,W60:AC60)/ SUM(W56:AC56),0)</f>
        <v>0</v>
      </c>
      <c r="AE60" s="495">
        <f>L60*$G$3+U60*$P$3</f>
        <v>0</v>
      </c>
    </row>
    <row r="61" spans="2:32" s="144" customFormat="1">
      <c r="B61" s="426"/>
      <c r="C61" s="445"/>
      <c r="D61" s="427" t="s">
        <v>1171</v>
      </c>
      <c r="E61" s="525">
        <f t="shared" ref="E61:K61" si="119">IFERROR((E56*E60)/SUMPRODUCT($E56:$K56,$E60:$K60),0)</f>
        <v>0</v>
      </c>
      <c r="F61" s="262">
        <f t="shared" si="119"/>
        <v>0</v>
      </c>
      <c r="G61" s="262">
        <f t="shared" si="119"/>
        <v>0</v>
      </c>
      <c r="H61" s="262">
        <f t="shared" si="119"/>
        <v>0</v>
      </c>
      <c r="I61" s="262">
        <f t="shared" si="119"/>
        <v>0</v>
      </c>
      <c r="J61" s="262">
        <f t="shared" si="119"/>
        <v>0</v>
      </c>
      <c r="K61" s="262">
        <f t="shared" si="119"/>
        <v>0</v>
      </c>
      <c r="L61" s="330"/>
      <c r="M61" s="471" t="s">
        <v>1171</v>
      </c>
      <c r="N61" s="262">
        <f t="shared" ref="N61:T61" si="120">IFERROR((N56*N60)/SUMPRODUCT($N56:$T56,$N60:$T60),0)</f>
        <v>0</v>
      </c>
      <c r="O61" s="262">
        <f t="shared" si="120"/>
        <v>0</v>
      </c>
      <c r="P61" s="262">
        <f t="shared" si="120"/>
        <v>0</v>
      </c>
      <c r="Q61" s="262">
        <f t="shared" si="120"/>
        <v>0</v>
      </c>
      <c r="R61" s="262">
        <f t="shared" si="120"/>
        <v>0</v>
      </c>
      <c r="S61" s="262">
        <f t="shared" si="120"/>
        <v>0</v>
      </c>
      <c r="T61" s="262">
        <f t="shared" si="120"/>
        <v>0</v>
      </c>
      <c r="U61" s="337"/>
      <c r="V61" s="471" t="s">
        <v>1171</v>
      </c>
      <c r="W61" s="262">
        <f>IFERROR((W56*W60)/SUMPRODUCT($W56:$AC56,$W60:$AC60), 0)</f>
        <v>0</v>
      </c>
      <c r="X61" s="262">
        <f t="shared" ref="X61" si="121">IFERROR((X56*X60)/SUMPRODUCT($W56:$AC56,$W60:$AC60), 0)</f>
        <v>0</v>
      </c>
      <c r="Y61" s="262">
        <f t="shared" ref="Y61" si="122">IFERROR((Y56*Y60)/SUMPRODUCT($W56:$AC56,$W60:$AC60), 0)</f>
        <v>0</v>
      </c>
      <c r="Z61" s="262">
        <f t="shared" ref="Z61" si="123">IFERROR((Z56*Z60)/SUMPRODUCT($W56:$AC56,$W60:$AC60), 0)</f>
        <v>0</v>
      </c>
      <c r="AA61" s="262">
        <f t="shared" ref="AA61" si="124">IFERROR((AA56*AA60)/SUMPRODUCT($W56:$AC56,$W60:$AC60), 0)</f>
        <v>0</v>
      </c>
      <c r="AB61" s="262">
        <f t="shared" ref="AB61" si="125">IFERROR((AB56*AB60)/SUMPRODUCT($W56:$AC56,$W60:$AC60), 0)</f>
        <v>0</v>
      </c>
      <c r="AC61" s="262">
        <f t="shared" ref="AC61" si="126">IFERROR((AC56*AC60)/SUMPRODUCT($W56:$AC56,$W60:$AC60), 0)</f>
        <v>0</v>
      </c>
      <c r="AD61" s="337"/>
      <c r="AE61" s="495"/>
    </row>
    <row r="62" spans="2:32" s="144" customFormat="1" ht="16.5" customHeight="1">
      <c r="B62" s="433"/>
      <c r="C62" s="451"/>
      <c r="D62" s="427"/>
      <c r="E62" s="331"/>
      <c r="F62" s="184"/>
      <c r="G62" s="184"/>
      <c r="H62" s="184"/>
      <c r="I62" s="184"/>
      <c r="J62" s="184"/>
      <c r="K62" s="184"/>
      <c r="L62" s="332"/>
      <c r="M62" s="340"/>
      <c r="N62" s="184"/>
      <c r="O62" s="184"/>
      <c r="P62" s="184"/>
      <c r="Q62" s="184"/>
      <c r="R62" s="184"/>
      <c r="S62" s="184"/>
      <c r="T62" s="184"/>
      <c r="U62" s="338"/>
      <c r="V62" s="340"/>
      <c r="W62" s="184"/>
      <c r="X62" s="184"/>
      <c r="Y62" s="184"/>
      <c r="Z62" s="184"/>
      <c r="AA62" s="184"/>
      <c r="AB62" s="184"/>
      <c r="AC62" s="184"/>
      <c r="AD62" s="338"/>
      <c r="AE62" s="495"/>
    </row>
    <row r="63" spans="2:32" s="292" customFormat="1">
      <c r="B63" s="432">
        <f>INPUTS!C25</f>
        <v>0</v>
      </c>
      <c r="C63" s="450"/>
      <c r="D63" s="425" t="s">
        <v>1170</v>
      </c>
      <c r="E63" s="327">
        <f>INPUTS!K56</f>
        <v>0</v>
      </c>
      <c r="F63" s="292">
        <f>INPUTS!K57</f>
        <v>0</v>
      </c>
      <c r="G63" s="292">
        <f>INPUTS!K58</f>
        <v>0</v>
      </c>
      <c r="H63" s="292">
        <f>INPUTS!K59</f>
        <v>0</v>
      </c>
      <c r="I63" s="292">
        <f>INPUTS!K60</f>
        <v>0</v>
      </c>
      <c r="J63" s="292">
        <f>INPUTS!K61</f>
        <v>0</v>
      </c>
      <c r="K63" s="292">
        <f>INPUTS!K62</f>
        <v>0</v>
      </c>
      <c r="L63" s="328"/>
      <c r="M63" s="487" t="s">
        <v>1170</v>
      </c>
      <c r="N63" s="292">
        <f>INPUTS!Z56</f>
        <v>0</v>
      </c>
      <c r="O63" s="292">
        <f>INPUTS!Z57</f>
        <v>0</v>
      </c>
      <c r="P63" s="292">
        <f>INPUTS!Z58</f>
        <v>0</v>
      </c>
      <c r="Q63" s="292">
        <f>INPUTS!Z59</f>
        <v>0</v>
      </c>
      <c r="R63" s="292">
        <f>INPUTS!Z60</f>
        <v>0</v>
      </c>
      <c r="S63" s="292">
        <f>INPUTS!Z61</f>
        <v>0</v>
      </c>
      <c r="T63" s="292">
        <f>INPUTS!Z62</f>
        <v>0</v>
      </c>
      <c r="U63" s="336"/>
      <c r="V63" s="487" t="s">
        <v>1170</v>
      </c>
      <c r="W63" s="292">
        <f>INPUTS!AO56</f>
        <v>0</v>
      </c>
      <c r="X63" s="292">
        <f>INPUTS!AO57</f>
        <v>0</v>
      </c>
      <c r="Y63" s="292">
        <f>INPUTS!AO58</f>
        <v>0</v>
      </c>
      <c r="Z63" s="292">
        <f>INPUTS!AO59</f>
        <v>0</v>
      </c>
      <c r="AA63" s="292">
        <f>INPUTS!AO60</f>
        <v>0</v>
      </c>
      <c r="AB63" s="292">
        <f>INPUTS!AO61</f>
        <v>0</v>
      </c>
      <c r="AC63" s="292">
        <f>INPUTS!AO62</f>
        <v>0</v>
      </c>
      <c r="AD63" s="336"/>
      <c r="AE63" s="494"/>
    </row>
    <row r="64" spans="2:32" s="144" customFormat="1">
      <c r="B64" s="429"/>
      <c r="C64" s="447"/>
      <c r="D64" s="427" t="s">
        <v>815</v>
      </c>
      <c r="E64" s="331">
        <f>VLOOKUP(E6,'Feed parameters'!$A$2:$M$113,6, FALSE)</f>
        <v>14.4</v>
      </c>
      <c r="F64" s="184">
        <f>VLOOKUP(F6,'Feed parameters'!$A$2:$M$113,6, FALSE)</f>
        <v>1.65</v>
      </c>
      <c r="G64" s="184">
        <f>VLOOKUP(G6,FEED_P[[#All],[Feed]:[DE (fraction)]],6, FALSE)</f>
        <v>2.5148999999999999</v>
      </c>
      <c r="H64" s="184">
        <f>VLOOKUP(H6,'Feed parameters'!$A$2:$M$113,6, FALSE)</f>
        <v>1.21</v>
      </c>
      <c r="I64" s="184">
        <f>VLOOKUP(I6,'Feed parameters'!$A$2:$M$113,6, FALSE)</f>
        <v>3.3930000000000002</v>
      </c>
      <c r="J64" s="184">
        <f>VLOOKUP(J6,'Feed parameters'!$A$2:$M$113,6, FALSE)</f>
        <v>3.6</v>
      </c>
      <c r="K64" s="184">
        <f>VLOOKUP(K6,'Feed parameters'!$A$2:$M$113,6, FALSE)</f>
        <v>0</v>
      </c>
      <c r="L64" s="332">
        <f>IFERROR(SUMPRODUCT(E63:K63,E64:K64)/ SUM(E63:K63),0)</f>
        <v>0</v>
      </c>
      <c r="M64" s="339" t="s">
        <v>815</v>
      </c>
      <c r="N64" s="638">
        <f>N57</f>
        <v>14.4</v>
      </c>
      <c r="O64" s="638">
        <f t="shared" ref="O64:T64" si="127">O57</f>
        <v>1.65</v>
      </c>
      <c r="P64" s="638">
        <f t="shared" si="127"/>
        <v>2.5148999999999999</v>
      </c>
      <c r="Q64" s="638">
        <f t="shared" si="127"/>
        <v>1.21</v>
      </c>
      <c r="R64" s="638">
        <f t="shared" si="127"/>
        <v>3.3930000000000002</v>
      </c>
      <c r="S64" s="638">
        <f t="shared" si="127"/>
        <v>3.6</v>
      </c>
      <c r="T64" s="638">
        <f t="shared" si="127"/>
        <v>0</v>
      </c>
      <c r="U64" s="338">
        <f>IFERROR(SUMPRODUCT(N63:T63,N64:T64)/ SUM(N63:T63),0)</f>
        <v>0</v>
      </c>
      <c r="V64" s="339" t="s">
        <v>815</v>
      </c>
      <c r="W64" s="638">
        <f>W57</f>
        <v>14.4</v>
      </c>
      <c r="X64" s="638">
        <f t="shared" ref="X64:AC64" si="128">X57</f>
        <v>1.65</v>
      </c>
      <c r="Y64" s="638">
        <f t="shared" si="128"/>
        <v>2.5148999999999999</v>
      </c>
      <c r="Z64" s="638">
        <f t="shared" si="128"/>
        <v>1.21</v>
      </c>
      <c r="AA64" s="638">
        <f t="shared" si="128"/>
        <v>3.3930000000000002</v>
      </c>
      <c r="AB64" s="638">
        <f t="shared" si="128"/>
        <v>3.6</v>
      </c>
      <c r="AC64" s="638">
        <f t="shared" si="128"/>
        <v>0</v>
      </c>
      <c r="AD64" s="338">
        <f>IFERROR(SUMPRODUCT(W63:AC63,W64:AC64)/ SUM(W63:AC63),0)</f>
        <v>0</v>
      </c>
      <c r="AE64" s="495">
        <f>L64*$G$3+U64*$P$3</f>
        <v>0</v>
      </c>
      <c r="AF64" s="407" t="e">
        <f>L64*$G$3/(L67*0.01)+U64*$P$3/(U67*0.01)</f>
        <v>#DIV/0!</v>
      </c>
    </row>
    <row r="65" spans="2:32" s="144" customFormat="1">
      <c r="B65" s="433"/>
      <c r="C65" s="451"/>
      <c r="D65" s="427" t="s">
        <v>816</v>
      </c>
      <c r="E65" s="331">
        <f>VLOOKUP(E6,'Feed parameters'!$A$2:$M$113,7, FALSE)</f>
        <v>0.79859999999999998</v>
      </c>
      <c r="F65" s="184">
        <f>VLOOKUP(F6,'Feed parameters'!$A$2:$M$113,7, FALSE)</f>
        <v>0.65213596800000007</v>
      </c>
      <c r="G65" s="184">
        <f>VLOOKUP(G6,FEED_P[[#All],[Feed]:[DE (fraction)]],7, FALSE)</f>
        <v>0.53459999999999996</v>
      </c>
      <c r="H65" s="184">
        <f>VLOOKUP(H6,'Feed parameters'!$A$2:$M$113,7, FALSE)</f>
        <v>0.5411999999999999</v>
      </c>
      <c r="I65" s="184">
        <f>VLOOKUP(I6,'Feed parameters'!$A$2:$M$113,7, FALSE)</f>
        <v>0.45539999999999997</v>
      </c>
      <c r="J65" s="184">
        <f>VLOOKUP(J6,'Feed parameters'!$A$2:$M$113,7, FALSE)</f>
        <v>0.33</v>
      </c>
      <c r="K65" s="184">
        <f>VLOOKUP(K6,'Feed parameters'!$A$2:$M$113,7, FALSE)</f>
        <v>0</v>
      </c>
      <c r="L65" s="332">
        <f>IFERROR(SUMPRODUCT(E63:K63,E65:K65)/ SUM(E63:K63),0)</f>
        <v>0</v>
      </c>
      <c r="M65" s="339" t="s">
        <v>816</v>
      </c>
      <c r="N65" s="638">
        <f t="shared" ref="N65" si="129">N58</f>
        <v>0.79859999999999998</v>
      </c>
      <c r="O65" s="638">
        <f t="shared" ref="O65:T65" si="130">O58</f>
        <v>0.65213596800000007</v>
      </c>
      <c r="P65" s="638">
        <f t="shared" si="130"/>
        <v>0.53459999999999996</v>
      </c>
      <c r="Q65" s="638">
        <f t="shared" si="130"/>
        <v>0.5411999999999999</v>
      </c>
      <c r="R65" s="638">
        <f t="shared" si="130"/>
        <v>0.45539999999999997</v>
      </c>
      <c r="S65" s="638">
        <f t="shared" si="130"/>
        <v>0.33</v>
      </c>
      <c r="T65" s="638">
        <f t="shared" si="130"/>
        <v>0</v>
      </c>
      <c r="U65" s="338">
        <f>IFERROR(SUMPRODUCT(N63:T63,N65:T65)/ SUM(N63:T63),0)</f>
        <v>0</v>
      </c>
      <c r="V65" s="339" t="s">
        <v>816</v>
      </c>
      <c r="W65" s="638">
        <f t="shared" ref="W65:AC67" si="131">W58</f>
        <v>0.79859999999999998</v>
      </c>
      <c r="X65" s="638">
        <f t="shared" si="131"/>
        <v>0.65213596800000007</v>
      </c>
      <c r="Y65" s="638">
        <f t="shared" si="131"/>
        <v>0.53459999999999996</v>
      </c>
      <c r="Z65" s="638">
        <f t="shared" si="131"/>
        <v>0.5411999999999999</v>
      </c>
      <c r="AA65" s="638">
        <f t="shared" si="131"/>
        <v>0.45539999999999997</v>
      </c>
      <c r="AB65" s="638">
        <f t="shared" si="131"/>
        <v>0.33</v>
      </c>
      <c r="AC65" s="638">
        <f t="shared" si="131"/>
        <v>0</v>
      </c>
      <c r="AD65" s="338">
        <f>IFERROR(SUMPRODUCT(W63:AC63,W65:AC65)/ SUM(W63:AC63),0)</f>
        <v>0</v>
      </c>
      <c r="AE65" s="495">
        <f>L65*$G$3+U65*$P$3</f>
        <v>0</v>
      </c>
    </row>
    <row r="66" spans="2:32" s="144" customFormat="1">
      <c r="B66" s="431"/>
      <c r="C66" s="449"/>
      <c r="D66" s="427" t="s">
        <v>906</v>
      </c>
      <c r="E66" s="329">
        <f>VLOOKUP(E6,'Feed parameters'!$A$2:$M$113,4, FALSE)</f>
        <v>10.89</v>
      </c>
      <c r="F66" s="262">
        <f>VLOOKUP(F6,'Feed parameters'!$A$2:$M$113,4, FALSE)</f>
        <v>1.4821272000000001</v>
      </c>
      <c r="G66" s="262">
        <f>VLOOKUP(G6,FEED_P[[#All],[Feed]:[DE (fraction)]],4, FALSE)</f>
        <v>2.0168999999999997</v>
      </c>
      <c r="H66" s="262">
        <f>VLOOKUP(H6,'Feed parameters'!$A$2:$M$113,4, FALSE)</f>
        <v>1.8039999999999998</v>
      </c>
      <c r="I66" s="262">
        <f>VLOOKUP(I6,'Feed parameters'!$A$2:$M$113,4, FALSE)</f>
        <v>6.0030000000000001</v>
      </c>
      <c r="J66" s="262">
        <f>VLOOKUP(J6,'Feed parameters'!$A$2:$M$113,4, FALSE)</f>
        <v>3</v>
      </c>
      <c r="K66" s="262">
        <f>VLOOKUP(K6,'Feed parameters'!$A$2:$M$113,4, FALSE)</f>
        <v>0</v>
      </c>
      <c r="L66" s="330">
        <f>IFERROR(SUMPRODUCT(E63:K63,E66:K66)/ SUM(E63:K63),0)</f>
        <v>0</v>
      </c>
      <c r="M66" s="339" t="s">
        <v>906</v>
      </c>
      <c r="N66" s="638">
        <f t="shared" ref="N66" si="132">N59</f>
        <v>10.89</v>
      </c>
      <c r="O66" s="638">
        <f t="shared" ref="O66:T66" si="133">O59</f>
        <v>1.4821272000000001</v>
      </c>
      <c r="P66" s="638">
        <f t="shared" si="133"/>
        <v>2.0168999999999997</v>
      </c>
      <c r="Q66" s="638">
        <f t="shared" si="133"/>
        <v>1.8039999999999998</v>
      </c>
      <c r="R66" s="638">
        <f t="shared" si="133"/>
        <v>6.0030000000000001</v>
      </c>
      <c r="S66" s="638">
        <f t="shared" si="133"/>
        <v>3</v>
      </c>
      <c r="T66" s="638">
        <f t="shared" si="133"/>
        <v>0</v>
      </c>
      <c r="U66" s="337">
        <f>IFERROR(SUMPRODUCT(N63:T63,N66:T66)/ SUM(N63:T63),0)</f>
        <v>0</v>
      </c>
      <c r="V66" s="339" t="s">
        <v>906</v>
      </c>
      <c r="W66" s="638">
        <f t="shared" si="131"/>
        <v>10.89</v>
      </c>
      <c r="X66" s="638">
        <f t="shared" si="131"/>
        <v>1.4821272000000001</v>
      </c>
      <c r="Y66" s="638">
        <f t="shared" si="131"/>
        <v>2.0168999999999997</v>
      </c>
      <c r="Z66" s="638">
        <f t="shared" si="131"/>
        <v>1.8039999999999998</v>
      </c>
      <c r="AA66" s="638">
        <f t="shared" si="131"/>
        <v>6.0030000000000001</v>
      </c>
      <c r="AB66" s="638">
        <f t="shared" si="131"/>
        <v>3</v>
      </c>
      <c r="AC66" s="638">
        <f t="shared" si="131"/>
        <v>0</v>
      </c>
      <c r="AD66" s="337">
        <f>IFERROR(SUMPRODUCT(W63:AC63,W66:AC66)/ SUM(W63:AC63),0)</f>
        <v>0</v>
      </c>
      <c r="AE66" s="495"/>
    </row>
    <row r="67" spans="2:32" s="144" customFormat="1">
      <c r="B67" s="426"/>
      <c r="C67" s="445"/>
      <c r="D67" s="427" t="s">
        <v>1153</v>
      </c>
      <c r="E67" s="329">
        <f>VLOOKUP(E6,'Feed parameters'!$A$2:$M$113,2, FALSE)</f>
        <v>90</v>
      </c>
      <c r="F67" s="262">
        <f>VLOOKUP(F6,'Feed parameters'!$A$2:$M$113,2, FALSE)</f>
        <v>15</v>
      </c>
      <c r="G67" s="262">
        <f>VLOOKUP(G6,FEED_P[[#All],[Feed]:[DE (fraction)]],2, FALSE)</f>
        <v>24.9</v>
      </c>
      <c r="H67" s="262">
        <f>VLOOKUP(H6,'Feed parameters'!$A$2:$M$113,2, FALSE)</f>
        <v>22</v>
      </c>
      <c r="I67" s="262">
        <f>VLOOKUP(I6,'Feed parameters'!$A$2:$M$113,2, FALSE)</f>
        <v>87</v>
      </c>
      <c r="J67" s="262">
        <f>VLOOKUP(J6,'Feed parameters'!$A$2:$M$113,2, FALSE)</f>
        <v>60</v>
      </c>
      <c r="K67" s="262">
        <f>VLOOKUP(K6,'Feed parameters'!$A$2:$M$113,2, FALSE)</f>
        <v>0</v>
      </c>
      <c r="L67" s="330">
        <f>IFERROR(SUMPRODUCT(E63:K63,E67:K67)/ SUM(E63:K63),0)</f>
        <v>0</v>
      </c>
      <c r="M67" s="471" t="s">
        <v>1153</v>
      </c>
      <c r="N67" s="638">
        <f t="shared" ref="N67" si="134">N60</f>
        <v>90</v>
      </c>
      <c r="O67" s="638">
        <f t="shared" ref="O67:T67" si="135">O60</f>
        <v>15</v>
      </c>
      <c r="P67" s="638">
        <f t="shared" si="135"/>
        <v>24.9</v>
      </c>
      <c r="Q67" s="638">
        <f t="shared" si="135"/>
        <v>22</v>
      </c>
      <c r="R67" s="638">
        <f t="shared" si="135"/>
        <v>87</v>
      </c>
      <c r="S67" s="638">
        <f t="shared" si="135"/>
        <v>60</v>
      </c>
      <c r="T67" s="638">
        <f t="shared" si="135"/>
        <v>0</v>
      </c>
      <c r="U67" s="337">
        <f>IFERROR(SUMPRODUCT(N63:T63,N67:T67)/ SUM(N63:T63),0)</f>
        <v>0</v>
      </c>
      <c r="V67" s="471" t="s">
        <v>1153</v>
      </c>
      <c r="W67" s="638">
        <f t="shared" si="131"/>
        <v>90</v>
      </c>
      <c r="X67" s="638">
        <f t="shared" si="131"/>
        <v>15</v>
      </c>
      <c r="Y67" s="638">
        <f t="shared" si="131"/>
        <v>24.9</v>
      </c>
      <c r="Z67" s="638">
        <f t="shared" si="131"/>
        <v>22</v>
      </c>
      <c r="AA67" s="638">
        <f t="shared" si="131"/>
        <v>87</v>
      </c>
      <c r="AB67" s="638">
        <f t="shared" si="131"/>
        <v>60</v>
      </c>
      <c r="AC67" s="638">
        <f t="shared" si="131"/>
        <v>0</v>
      </c>
      <c r="AD67" s="337">
        <f>IFERROR(SUMPRODUCT(W63:AC63,W67:AC67)/ SUM(W63:AC63),0)</f>
        <v>0</v>
      </c>
      <c r="AE67" s="495">
        <f>L67*$G$3+U67*$P$3</f>
        <v>0</v>
      </c>
    </row>
    <row r="68" spans="2:32" s="144" customFormat="1">
      <c r="B68" s="426"/>
      <c r="C68" s="445"/>
      <c r="D68" s="427" t="s">
        <v>1171</v>
      </c>
      <c r="E68" s="329">
        <f>IFERROR((E63*E67)/SUMPRODUCT($E63:$K63,$E67:$K67), 0)</f>
        <v>0</v>
      </c>
      <c r="F68" s="262">
        <f t="shared" ref="F68:K68" si="136">IFERROR((F63*F67)/SUMPRODUCT($E63:$K63,$E67:$K67),0)</f>
        <v>0</v>
      </c>
      <c r="G68" s="262">
        <f t="shared" si="136"/>
        <v>0</v>
      </c>
      <c r="H68" s="262">
        <f t="shared" si="136"/>
        <v>0</v>
      </c>
      <c r="I68" s="262">
        <f t="shared" si="136"/>
        <v>0</v>
      </c>
      <c r="J68" s="262">
        <f t="shared" si="136"/>
        <v>0</v>
      </c>
      <c r="K68" s="262">
        <f t="shared" si="136"/>
        <v>0</v>
      </c>
      <c r="L68" s="330"/>
      <c r="M68" s="471" t="s">
        <v>1171</v>
      </c>
      <c r="N68" s="262">
        <f t="shared" ref="N68:T68" si="137">IFERROR((N63*N67)/SUMPRODUCT($N63:$T63,$N67:$T67),0)</f>
        <v>0</v>
      </c>
      <c r="O68" s="262">
        <f t="shared" si="137"/>
        <v>0</v>
      </c>
      <c r="P68" s="262">
        <f t="shared" si="137"/>
        <v>0</v>
      </c>
      <c r="Q68" s="262">
        <f t="shared" si="137"/>
        <v>0</v>
      </c>
      <c r="R68" s="262">
        <f t="shared" si="137"/>
        <v>0</v>
      </c>
      <c r="S68" s="262">
        <f t="shared" si="137"/>
        <v>0</v>
      </c>
      <c r="T68" s="262">
        <f t="shared" si="137"/>
        <v>0</v>
      </c>
      <c r="U68" s="337"/>
      <c r="V68" s="471" t="s">
        <v>1171</v>
      </c>
      <c r="W68" s="262">
        <f>IFERROR((W63*W67)/SUMPRODUCT($W63:$AC63,$W67:$AC67), 0)</f>
        <v>0</v>
      </c>
      <c r="X68" s="262">
        <f t="shared" ref="X68" si="138">IFERROR((X63*X67)/SUMPRODUCT($W63:$AC63,$W67:$AC67), 0)</f>
        <v>0</v>
      </c>
      <c r="Y68" s="262">
        <f t="shared" ref="Y68" si="139">IFERROR((Y63*Y67)/SUMPRODUCT($W63:$AC63,$W67:$AC67), 0)</f>
        <v>0</v>
      </c>
      <c r="Z68" s="262">
        <f t="shared" ref="Z68" si="140">IFERROR((Z63*Z67)/SUMPRODUCT($W63:$AC63,$W67:$AC67), 0)</f>
        <v>0</v>
      </c>
      <c r="AA68" s="262">
        <f t="shared" ref="AA68" si="141">IFERROR((AA63*AA67)/SUMPRODUCT($W63:$AC63,$W67:$AC67), 0)</f>
        <v>0</v>
      </c>
      <c r="AB68" s="262">
        <f t="shared" ref="AB68" si="142">IFERROR((AB63*AB67)/SUMPRODUCT($W63:$AC63,$W67:$AC67), 0)</f>
        <v>0</v>
      </c>
      <c r="AC68" s="262">
        <f t="shared" ref="AC68" si="143">IFERROR((AC63*AC67)/SUMPRODUCT($W63:$AC63,$W67:$AC67), 0)</f>
        <v>0</v>
      </c>
      <c r="AD68" s="337"/>
      <c r="AE68" s="495"/>
    </row>
    <row r="69" spans="2:32" s="144" customFormat="1">
      <c r="B69" s="426"/>
      <c r="C69" s="445"/>
      <c r="D69" s="427"/>
      <c r="E69" s="329"/>
      <c r="F69" s="262"/>
      <c r="G69" s="262"/>
      <c r="H69" s="262"/>
      <c r="I69" s="262"/>
      <c r="J69" s="262"/>
      <c r="K69" s="262"/>
      <c r="L69" s="330"/>
      <c r="M69" s="471"/>
      <c r="N69" s="262"/>
      <c r="O69" s="262"/>
      <c r="P69" s="262"/>
      <c r="Q69" s="262"/>
      <c r="R69" s="262"/>
      <c r="S69" s="262"/>
      <c r="T69" s="262"/>
      <c r="U69" s="337"/>
      <c r="V69" s="471"/>
      <c r="W69" s="262"/>
      <c r="X69" s="262"/>
      <c r="Y69" s="262"/>
      <c r="Z69" s="262"/>
      <c r="AA69" s="262"/>
      <c r="AB69" s="262"/>
      <c r="AC69" s="262"/>
      <c r="AD69" s="337"/>
      <c r="AE69" s="495"/>
    </row>
    <row r="70" spans="2:32" s="144" customFormat="1">
      <c r="B70" s="432">
        <f>INPUTS!C26</f>
        <v>0</v>
      </c>
      <c r="C70" s="450"/>
      <c r="D70" s="425" t="s">
        <v>1170</v>
      </c>
      <c r="E70" s="327">
        <f>INPUTS!L56</f>
        <v>0</v>
      </c>
      <c r="F70" s="262">
        <f>INPUTS!L57</f>
        <v>0</v>
      </c>
      <c r="G70" s="262">
        <f>INPUTS!L58</f>
        <v>0</v>
      </c>
      <c r="H70" s="262">
        <f>INPUTS!L59</f>
        <v>0</v>
      </c>
      <c r="I70" s="262">
        <f>INPUTS!L60</f>
        <v>0</v>
      </c>
      <c r="J70" s="262">
        <f>INPUTS!L61</f>
        <v>0</v>
      </c>
      <c r="K70" s="262">
        <f>INPUTS!L62</f>
        <v>0</v>
      </c>
      <c r="L70" s="330"/>
      <c r="M70" s="487" t="s">
        <v>1170</v>
      </c>
      <c r="N70" s="262">
        <f>INPUTS!AA56</f>
        <v>0</v>
      </c>
      <c r="O70" s="262">
        <f>INPUTS!AA57</f>
        <v>0</v>
      </c>
      <c r="P70" s="262">
        <f>INPUTS!AA58</f>
        <v>0</v>
      </c>
      <c r="Q70" s="262">
        <f>INPUTS!AA59</f>
        <v>0</v>
      </c>
      <c r="R70" s="262">
        <f>INPUTS!AA60</f>
        <v>0</v>
      </c>
      <c r="S70" s="262">
        <f>INPUTS!AA61</f>
        <v>0</v>
      </c>
      <c r="T70" s="262">
        <f>INPUTS!AA62</f>
        <v>0</v>
      </c>
      <c r="U70" s="337"/>
      <c r="V70" s="487" t="s">
        <v>1170</v>
      </c>
      <c r="W70" s="262">
        <f>INPUTS!AP56</f>
        <v>0</v>
      </c>
      <c r="X70" s="262">
        <f>INPUTS!AP57</f>
        <v>0</v>
      </c>
      <c r="Y70" s="262">
        <f>INPUTS!AP58</f>
        <v>0</v>
      </c>
      <c r="Z70" s="262">
        <f>INPUTS!AP59</f>
        <v>0</v>
      </c>
      <c r="AA70" s="262">
        <f>INPUTS!AP60</f>
        <v>0</v>
      </c>
      <c r="AB70" s="262">
        <f>INPUTS!AP61</f>
        <v>0</v>
      </c>
      <c r="AC70" s="262">
        <f>INPUTS!AP62</f>
        <v>0</v>
      </c>
      <c r="AD70" s="337"/>
      <c r="AE70" s="495"/>
    </row>
    <row r="71" spans="2:32" s="144" customFormat="1">
      <c r="B71" s="429"/>
      <c r="C71" s="447"/>
      <c r="D71" s="427" t="s">
        <v>815</v>
      </c>
      <c r="E71" s="331">
        <f>VLOOKUP(E6,'Feed parameters'!$A$2:$M$113,6, FALSE)</f>
        <v>14.4</v>
      </c>
      <c r="F71" s="262">
        <f>VLOOKUP(F6,'Feed parameters'!$A$2:$M$113,6, FALSE)</f>
        <v>1.65</v>
      </c>
      <c r="G71" s="262">
        <f>VLOOKUP(G6,FEED_P[[#All],[Feed]:[DE (fraction)]],6, FALSE)</f>
        <v>2.5148999999999999</v>
      </c>
      <c r="H71" s="262">
        <f>VLOOKUP(H6,'Feed parameters'!$A$2:$M$113,6, FALSE)</f>
        <v>1.21</v>
      </c>
      <c r="I71" s="262">
        <f>VLOOKUP(I6,'Feed parameters'!$A$2:$M$113,6, FALSE)</f>
        <v>3.3930000000000002</v>
      </c>
      <c r="J71" s="262">
        <f>VLOOKUP(J6,'Feed parameters'!$A$2:$M$113,6, FALSE)</f>
        <v>3.6</v>
      </c>
      <c r="K71" s="262">
        <f>VLOOKUP(K6,'Feed parameters'!$A$2:$M$113,6, FALSE)</f>
        <v>0</v>
      </c>
      <c r="L71" s="332">
        <f>IFERROR(SUMPRODUCT(E70:K70,E71:K71)/ SUM(E70:K70),0)</f>
        <v>0</v>
      </c>
      <c r="M71" s="339" t="s">
        <v>815</v>
      </c>
      <c r="N71" s="262">
        <f>N64</f>
        <v>14.4</v>
      </c>
      <c r="O71" s="262">
        <f t="shared" ref="O71:T71" si="144">O64</f>
        <v>1.65</v>
      </c>
      <c r="P71" s="262">
        <f t="shared" si="144"/>
        <v>2.5148999999999999</v>
      </c>
      <c r="Q71" s="262">
        <f t="shared" si="144"/>
        <v>1.21</v>
      </c>
      <c r="R71" s="262">
        <f t="shared" si="144"/>
        <v>3.3930000000000002</v>
      </c>
      <c r="S71" s="262">
        <f t="shared" si="144"/>
        <v>3.6</v>
      </c>
      <c r="T71" s="262">
        <f t="shared" si="144"/>
        <v>0</v>
      </c>
      <c r="U71" s="338">
        <f>IFERROR(SUMPRODUCT(N70:T70,N71:T71)/ SUM(N70:T70),0)</f>
        <v>0</v>
      </c>
      <c r="V71" s="339" t="s">
        <v>815</v>
      </c>
      <c r="W71" s="262">
        <f>W64</f>
        <v>14.4</v>
      </c>
      <c r="X71" s="262">
        <f t="shared" ref="X71:AC71" si="145">X64</f>
        <v>1.65</v>
      </c>
      <c r="Y71" s="262">
        <f t="shared" si="145"/>
        <v>2.5148999999999999</v>
      </c>
      <c r="Z71" s="262">
        <f t="shared" si="145"/>
        <v>1.21</v>
      </c>
      <c r="AA71" s="262">
        <f t="shared" si="145"/>
        <v>3.3930000000000002</v>
      </c>
      <c r="AB71" s="262">
        <f t="shared" si="145"/>
        <v>3.6</v>
      </c>
      <c r="AC71" s="262">
        <f t="shared" si="145"/>
        <v>0</v>
      </c>
      <c r="AD71" s="338">
        <f>IFERROR(SUMPRODUCT(W70:AC70,W71:AC71)/ SUM(W70:AC70),0)</f>
        <v>0</v>
      </c>
      <c r="AE71" s="495">
        <f>L71*$G$3+U71*$P$3</f>
        <v>0</v>
      </c>
      <c r="AF71" s="407" t="e">
        <f>L71*$G$3/(L74*0.01)+U71*$P$3/(U74*0.01)</f>
        <v>#DIV/0!</v>
      </c>
    </row>
    <row r="72" spans="2:32" s="144" customFormat="1">
      <c r="B72" s="433"/>
      <c r="C72" s="451"/>
      <c r="D72" s="427" t="s">
        <v>816</v>
      </c>
      <c r="E72" s="331">
        <f>VLOOKUP(E6,'Feed parameters'!$A$2:$M$113,7, FALSE)</f>
        <v>0.79859999999999998</v>
      </c>
      <c r="F72" s="262">
        <f>VLOOKUP(F6,'Feed parameters'!$A$2:$M$113,7, FALSE)</f>
        <v>0.65213596800000007</v>
      </c>
      <c r="G72" s="262">
        <f>VLOOKUP(G6,FEED_P[[#All],[Feed]:[DE (fraction)]],7, FALSE)</f>
        <v>0.53459999999999996</v>
      </c>
      <c r="H72" s="262">
        <f>VLOOKUP(H6,'Feed parameters'!$A$2:$M$113,7, FALSE)</f>
        <v>0.5411999999999999</v>
      </c>
      <c r="I72" s="262">
        <f>VLOOKUP(I6,'Feed parameters'!$A$2:$M$113,7, FALSE)</f>
        <v>0.45539999999999997</v>
      </c>
      <c r="J72" s="262">
        <f>VLOOKUP(J6,'Feed parameters'!$A$2:$M$113,7, FALSE)</f>
        <v>0.33</v>
      </c>
      <c r="K72" s="262">
        <f>VLOOKUP(K6,'Feed parameters'!$A$2:$M$113,7, FALSE)</f>
        <v>0</v>
      </c>
      <c r="L72" s="332">
        <f>IFERROR(SUMPRODUCT(E70:K70,E72:K72)/ SUM(E70:K70),0)</f>
        <v>0</v>
      </c>
      <c r="M72" s="339" t="s">
        <v>816</v>
      </c>
      <c r="N72" s="262">
        <f t="shared" ref="N72:T74" si="146">N65</f>
        <v>0.79859999999999998</v>
      </c>
      <c r="O72" s="262">
        <f t="shared" si="146"/>
        <v>0.65213596800000007</v>
      </c>
      <c r="P72" s="262">
        <f t="shared" si="146"/>
        <v>0.53459999999999996</v>
      </c>
      <c r="Q72" s="262">
        <f t="shared" si="146"/>
        <v>0.5411999999999999</v>
      </c>
      <c r="R72" s="262">
        <f t="shared" si="146"/>
        <v>0.45539999999999997</v>
      </c>
      <c r="S72" s="262">
        <f t="shared" si="146"/>
        <v>0.33</v>
      </c>
      <c r="T72" s="262">
        <f t="shared" si="146"/>
        <v>0</v>
      </c>
      <c r="U72" s="338">
        <f>IFERROR(SUMPRODUCT(N70:T70,N72:T72)/ SUM(N70:T70),0)</f>
        <v>0</v>
      </c>
      <c r="V72" s="339" t="s">
        <v>816</v>
      </c>
      <c r="W72" s="262">
        <f t="shared" ref="W72:AC72" si="147">W65</f>
        <v>0.79859999999999998</v>
      </c>
      <c r="X72" s="262">
        <f t="shared" si="147"/>
        <v>0.65213596800000007</v>
      </c>
      <c r="Y72" s="262">
        <f t="shared" si="147"/>
        <v>0.53459999999999996</v>
      </c>
      <c r="Z72" s="262">
        <f t="shared" si="147"/>
        <v>0.5411999999999999</v>
      </c>
      <c r="AA72" s="262">
        <f t="shared" si="147"/>
        <v>0.45539999999999997</v>
      </c>
      <c r="AB72" s="262">
        <f t="shared" si="147"/>
        <v>0.33</v>
      </c>
      <c r="AC72" s="262">
        <f t="shared" si="147"/>
        <v>0</v>
      </c>
      <c r="AD72" s="338">
        <f>IFERROR(SUMPRODUCT(W70:AC70,W72:AC72)/ SUM(W70:AC70),0)</f>
        <v>0</v>
      </c>
      <c r="AE72" s="495">
        <f>L72*$G$3+U72*$P$3</f>
        <v>0</v>
      </c>
    </row>
    <row r="73" spans="2:32" s="144" customFormat="1">
      <c r="B73" s="431"/>
      <c r="C73" s="449"/>
      <c r="D73" s="427" t="s">
        <v>906</v>
      </c>
      <c r="E73" s="329">
        <f>VLOOKUP(E6,'Feed parameters'!$A$2:$M$113,4, FALSE)</f>
        <v>10.89</v>
      </c>
      <c r="F73" s="262">
        <f>VLOOKUP(F6,'Feed parameters'!$A$2:$M$113,4, FALSE)</f>
        <v>1.4821272000000001</v>
      </c>
      <c r="G73" s="262">
        <f>VLOOKUP(G6,FEED_P[[#All],[Feed]:[DE (fraction)]],4, FALSE)</f>
        <v>2.0168999999999997</v>
      </c>
      <c r="H73" s="262">
        <f>VLOOKUP(H6,'Feed parameters'!$A$2:$M$113,4, FALSE)</f>
        <v>1.8039999999999998</v>
      </c>
      <c r="I73" s="262">
        <f>VLOOKUP(I6,'Feed parameters'!$A$2:$M$113,4, FALSE)</f>
        <v>6.0030000000000001</v>
      </c>
      <c r="J73" s="262">
        <f>VLOOKUP(J6,'Feed parameters'!$A$2:$M$113,4, FALSE)</f>
        <v>3</v>
      </c>
      <c r="K73" s="262">
        <f>VLOOKUP(K6,'Feed parameters'!$A$2:$M$113,4, FALSE)</f>
        <v>0</v>
      </c>
      <c r="L73" s="330">
        <f>IFERROR(SUMPRODUCT(E70:K70,E73:K73)/ SUM(E70:K70),0)</f>
        <v>0</v>
      </c>
      <c r="M73" s="339" t="s">
        <v>906</v>
      </c>
      <c r="N73" s="262">
        <f t="shared" si="146"/>
        <v>10.89</v>
      </c>
      <c r="O73" s="262">
        <f t="shared" si="146"/>
        <v>1.4821272000000001</v>
      </c>
      <c r="P73" s="262">
        <f t="shared" si="146"/>
        <v>2.0168999999999997</v>
      </c>
      <c r="Q73" s="262">
        <f t="shared" si="146"/>
        <v>1.8039999999999998</v>
      </c>
      <c r="R73" s="262">
        <f t="shared" si="146"/>
        <v>6.0030000000000001</v>
      </c>
      <c r="S73" s="262">
        <f t="shared" si="146"/>
        <v>3</v>
      </c>
      <c r="T73" s="262">
        <f t="shared" si="146"/>
        <v>0</v>
      </c>
      <c r="U73" s="337">
        <f>IFERROR(SUMPRODUCT(N70:T70,N73:T73)/ SUM(N70:T70),0)</f>
        <v>0</v>
      </c>
      <c r="V73" s="339" t="s">
        <v>906</v>
      </c>
      <c r="W73" s="262">
        <f t="shared" ref="W73:AC73" si="148">W66</f>
        <v>10.89</v>
      </c>
      <c r="X73" s="262">
        <f t="shared" si="148"/>
        <v>1.4821272000000001</v>
      </c>
      <c r="Y73" s="262">
        <f t="shared" si="148"/>
        <v>2.0168999999999997</v>
      </c>
      <c r="Z73" s="262">
        <f t="shared" si="148"/>
        <v>1.8039999999999998</v>
      </c>
      <c r="AA73" s="262">
        <f t="shared" si="148"/>
        <v>6.0030000000000001</v>
      </c>
      <c r="AB73" s="262">
        <f t="shared" si="148"/>
        <v>3</v>
      </c>
      <c r="AC73" s="262">
        <f t="shared" si="148"/>
        <v>0</v>
      </c>
      <c r="AD73" s="337">
        <f>IFERROR(SUMPRODUCT(W70:AC70,W73:AC73)/ SUM(W70:AC70),0)</f>
        <v>0</v>
      </c>
      <c r="AE73" s="495"/>
    </row>
    <row r="74" spans="2:32" s="144" customFormat="1">
      <c r="B74" s="426"/>
      <c r="C74" s="445"/>
      <c r="D74" s="427" t="s">
        <v>1153</v>
      </c>
      <c r="E74" s="329">
        <f>VLOOKUP(E6,'Feed parameters'!$A$2:$M$113,2, FALSE)</f>
        <v>90</v>
      </c>
      <c r="F74" s="262">
        <f>VLOOKUP(F6,'Feed parameters'!$A$2:$M$113,2, FALSE)</f>
        <v>15</v>
      </c>
      <c r="G74" s="262">
        <f>VLOOKUP(G6,FEED_P[[#All],[Feed]:[DE (fraction)]],2, FALSE)</f>
        <v>24.9</v>
      </c>
      <c r="H74" s="262">
        <f>VLOOKUP(H6,'Feed parameters'!$A$2:$M$113,2, FALSE)</f>
        <v>22</v>
      </c>
      <c r="I74" s="262">
        <f>VLOOKUP(I6,'Feed parameters'!$A$2:$M$113,2, FALSE)</f>
        <v>87</v>
      </c>
      <c r="J74" s="262">
        <f>VLOOKUP(J6,'Feed parameters'!$A$2:$M$113,2, FALSE)</f>
        <v>60</v>
      </c>
      <c r="K74" s="262">
        <f>VLOOKUP(K6,'Feed parameters'!$A$2:$M$113,2, FALSE)</f>
        <v>0</v>
      </c>
      <c r="L74" s="330">
        <f>IFERROR(SUMPRODUCT(E70:K70,E74:K74)/ SUM(E70:K70),0)</f>
        <v>0</v>
      </c>
      <c r="M74" s="471" t="s">
        <v>1153</v>
      </c>
      <c r="N74" s="262">
        <f t="shared" si="146"/>
        <v>90</v>
      </c>
      <c r="O74" s="262">
        <f t="shared" si="146"/>
        <v>15</v>
      </c>
      <c r="P74" s="262">
        <f t="shared" si="146"/>
        <v>24.9</v>
      </c>
      <c r="Q74" s="262">
        <f t="shared" si="146"/>
        <v>22</v>
      </c>
      <c r="R74" s="262">
        <f t="shared" si="146"/>
        <v>87</v>
      </c>
      <c r="S74" s="262">
        <f t="shared" si="146"/>
        <v>60</v>
      </c>
      <c r="T74" s="262">
        <f t="shared" si="146"/>
        <v>0</v>
      </c>
      <c r="U74" s="337">
        <f>IFERROR(SUMPRODUCT(N70:T70,N74:T74)/ SUM(N70:T70),0)</f>
        <v>0</v>
      </c>
      <c r="V74" s="471" t="s">
        <v>1153</v>
      </c>
      <c r="W74" s="262">
        <f t="shared" ref="W74:AC74" si="149">W67</f>
        <v>90</v>
      </c>
      <c r="X74" s="262">
        <f t="shared" si="149"/>
        <v>15</v>
      </c>
      <c r="Y74" s="262">
        <f t="shared" si="149"/>
        <v>24.9</v>
      </c>
      <c r="Z74" s="262">
        <f t="shared" si="149"/>
        <v>22</v>
      </c>
      <c r="AA74" s="262">
        <f t="shared" si="149"/>
        <v>87</v>
      </c>
      <c r="AB74" s="262">
        <f t="shared" si="149"/>
        <v>60</v>
      </c>
      <c r="AC74" s="262">
        <f t="shared" si="149"/>
        <v>0</v>
      </c>
      <c r="AD74" s="337">
        <f>IFERROR(SUMPRODUCT(W70:AC70,W74:AC74)/ SUM(W70:AC70),0)</f>
        <v>0</v>
      </c>
      <c r="AE74" s="495">
        <f>L74*$G$3+U74*$P$3</f>
        <v>0</v>
      </c>
    </row>
    <row r="75" spans="2:32" s="144" customFormat="1">
      <c r="B75" s="426"/>
      <c r="C75" s="445"/>
      <c r="D75" s="427" t="s">
        <v>1171</v>
      </c>
      <c r="E75" s="329">
        <f>IFERROR((E70*E74)/SUMPRODUCT($E70:$K70,$E74:$K74), 0)</f>
        <v>0</v>
      </c>
      <c r="F75" s="262">
        <f t="shared" ref="F75:K75" si="150">IFERROR((F70*F74)/SUMPRODUCT($E70:$K70,$E74:$K74), 0)</f>
        <v>0</v>
      </c>
      <c r="G75" s="262">
        <f t="shared" si="150"/>
        <v>0</v>
      </c>
      <c r="H75" s="262">
        <f t="shared" si="150"/>
        <v>0</v>
      </c>
      <c r="I75" s="262">
        <f t="shared" si="150"/>
        <v>0</v>
      </c>
      <c r="J75" s="262">
        <f t="shared" si="150"/>
        <v>0</v>
      </c>
      <c r="K75" s="262">
        <f t="shared" si="150"/>
        <v>0</v>
      </c>
      <c r="L75" s="330"/>
      <c r="M75" s="471" t="s">
        <v>1171</v>
      </c>
      <c r="N75" s="262">
        <f t="shared" ref="N75:T75" si="151">IFERROR((N70*N74)/SUMPRODUCT($N70:$T70,$N74:$T74),0)</f>
        <v>0</v>
      </c>
      <c r="O75" s="262">
        <f t="shared" si="151"/>
        <v>0</v>
      </c>
      <c r="P75" s="262">
        <f t="shared" si="151"/>
        <v>0</v>
      </c>
      <c r="Q75" s="262">
        <f t="shared" si="151"/>
        <v>0</v>
      </c>
      <c r="R75" s="262">
        <f t="shared" si="151"/>
        <v>0</v>
      </c>
      <c r="S75" s="262">
        <f t="shared" si="151"/>
        <v>0</v>
      </c>
      <c r="T75" s="262">
        <f t="shared" si="151"/>
        <v>0</v>
      </c>
      <c r="U75" s="337"/>
      <c r="V75" s="471" t="s">
        <v>1171</v>
      </c>
      <c r="W75" s="262">
        <f>IFERROR((W70*W74)/SUMPRODUCT($W70:$AC70,$W74:$AC74), 0)</f>
        <v>0</v>
      </c>
      <c r="X75" s="262">
        <f t="shared" ref="X75" si="152">IFERROR((X70*X74)/SUMPRODUCT($W70:$AC70,$W74:$AC74), 0)</f>
        <v>0</v>
      </c>
      <c r="Y75" s="262">
        <f t="shared" ref="Y75" si="153">IFERROR((Y70*Y74)/SUMPRODUCT($W70:$AC70,$W74:$AC74), 0)</f>
        <v>0</v>
      </c>
      <c r="Z75" s="262">
        <f t="shared" ref="Z75" si="154">IFERROR((Z70*Z74)/SUMPRODUCT($W70:$AC70,$W74:$AC74), 0)</f>
        <v>0</v>
      </c>
      <c r="AA75" s="262">
        <f t="shared" ref="AA75" si="155">IFERROR((AA70*AA74)/SUMPRODUCT($W70:$AC70,$W74:$AC74), 0)</f>
        <v>0</v>
      </c>
      <c r="AB75" s="262">
        <f t="shared" ref="AB75" si="156">IFERROR((AB70*AB74)/SUMPRODUCT($W70:$AC70,$W74:$AC74), 0)</f>
        <v>0</v>
      </c>
      <c r="AC75" s="262">
        <f t="shared" ref="AC75" si="157">IFERROR((AC70*AC74)/SUMPRODUCT($W70:$AC70,$W74:$AC74), 0)</f>
        <v>0</v>
      </c>
      <c r="AD75" s="337"/>
      <c r="AE75" s="495"/>
    </row>
    <row r="76" spans="2:32" s="144" customFormat="1">
      <c r="B76" s="426"/>
      <c r="C76" s="445"/>
      <c r="D76" s="427"/>
      <c r="E76" s="329"/>
      <c r="F76" s="262"/>
      <c r="G76" s="262"/>
      <c r="H76" s="262"/>
      <c r="I76" s="262"/>
      <c r="J76" s="262"/>
      <c r="K76" s="262"/>
      <c r="L76" s="330"/>
      <c r="M76" s="471"/>
      <c r="N76" s="262"/>
      <c r="O76" s="262"/>
      <c r="P76" s="262"/>
      <c r="Q76" s="262"/>
      <c r="R76" s="262"/>
      <c r="S76" s="262"/>
      <c r="T76" s="262"/>
      <c r="U76" s="337"/>
      <c r="V76" s="471"/>
      <c r="W76" s="262"/>
      <c r="X76" s="262"/>
      <c r="Y76" s="262"/>
      <c r="Z76" s="262"/>
      <c r="AA76" s="262"/>
      <c r="AB76" s="262"/>
      <c r="AC76" s="262"/>
      <c r="AD76" s="337"/>
      <c r="AE76" s="495"/>
    </row>
    <row r="77" spans="2:32" s="144" customFormat="1">
      <c r="B77" s="432">
        <f>INPUTS!C26</f>
        <v>0</v>
      </c>
      <c r="C77" s="450"/>
      <c r="D77" s="425" t="s">
        <v>1170</v>
      </c>
      <c r="E77" s="327">
        <f>INPUTS!M56</f>
        <v>0</v>
      </c>
      <c r="F77" s="262">
        <f>INPUTS!M57</f>
        <v>0</v>
      </c>
      <c r="G77" s="262">
        <f>INPUTS!M58</f>
        <v>0</v>
      </c>
      <c r="H77" s="262">
        <f>INPUTS!M59</f>
        <v>0</v>
      </c>
      <c r="I77" s="262">
        <f>INPUTS!M60</f>
        <v>0</v>
      </c>
      <c r="J77" s="262">
        <f>INPUTS!M61</f>
        <v>0</v>
      </c>
      <c r="K77" s="262">
        <f>INPUTS!M62</f>
        <v>0</v>
      </c>
      <c r="L77" s="330"/>
      <c r="M77" s="487" t="s">
        <v>1170</v>
      </c>
      <c r="N77" s="262">
        <f>INPUTS!AB56</f>
        <v>0</v>
      </c>
      <c r="O77" s="262">
        <f>INPUTS!AB57</f>
        <v>0</v>
      </c>
      <c r="P77" s="262">
        <f>INPUTS!AB58</f>
        <v>0</v>
      </c>
      <c r="Q77" s="262">
        <f>INPUTS!AB59</f>
        <v>0</v>
      </c>
      <c r="R77" s="262">
        <f>INPUTS!AB60</f>
        <v>0</v>
      </c>
      <c r="S77" s="262">
        <f>INPUTS!AB61</f>
        <v>0</v>
      </c>
      <c r="T77" s="262">
        <f>INPUTS!AB62</f>
        <v>0</v>
      </c>
      <c r="U77" s="337"/>
      <c r="V77" s="487" t="s">
        <v>1170</v>
      </c>
      <c r="W77" s="262">
        <f>INPUTS!AQ56</f>
        <v>0</v>
      </c>
      <c r="X77" s="262">
        <f>INPUTS!AQ57</f>
        <v>0</v>
      </c>
      <c r="Y77" s="262">
        <f>INPUTS!AQ58</f>
        <v>0</v>
      </c>
      <c r="Z77" s="262">
        <f>INPUTS!AQ59</f>
        <v>0</v>
      </c>
      <c r="AA77" s="262">
        <f>INPUTS!AQ60</f>
        <v>0</v>
      </c>
      <c r="AB77" s="262">
        <f>INPUTS!AQ61</f>
        <v>0</v>
      </c>
      <c r="AC77" s="262">
        <f>INPUTS!AQ62</f>
        <v>0</v>
      </c>
      <c r="AD77" s="337"/>
      <c r="AE77" s="495"/>
    </row>
    <row r="78" spans="2:32" s="144" customFormat="1">
      <c r="B78" s="429"/>
      <c r="C78" s="447"/>
      <c r="D78" s="427" t="s">
        <v>815</v>
      </c>
      <c r="E78" s="331">
        <f>VLOOKUP(E6,'Feed parameters'!$A$2:$M$113,6, FALSE)</f>
        <v>14.4</v>
      </c>
      <c r="F78" s="262">
        <f>VLOOKUP(F6,'Feed parameters'!$A$2:$M$113,6, FALSE)</f>
        <v>1.65</v>
      </c>
      <c r="G78" s="262">
        <f>VLOOKUP(G6,FEED_P[[#All],[Feed]:[DE (fraction)]],6, FALSE)</f>
        <v>2.5148999999999999</v>
      </c>
      <c r="H78" s="262">
        <f>VLOOKUP(H6,'Feed parameters'!$A$2:$M$113,6, FALSE)</f>
        <v>1.21</v>
      </c>
      <c r="I78" s="262">
        <f>VLOOKUP(I6,'Feed parameters'!$A$2:$M$113,6, FALSE)</f>
        <v>3.3930000000000002</v>
      </c>
      <c r="J78" s="262">
        <f>VLOOKUP(J6,'Feed parameters'!$A$2:$M$113,6, FALSE)</f>
        <v>3.6</v>
      </c>
      <c r="K78" s="262">
        <f>VLOOKUP(K6,'Feed parameters'!$A$2:$M$113,6, FALSE)</f>
        <v>0</v>
      </c>
      <c r="L78" s="332">
        <f>IFERROR(SUMPRODUCT(E77:K77,E78:K78)/ SUM(E77:K77),0)</f>
        <v>0</v>
      </c>
      <c r="M78" s="339" t="s">
        <v>815</v>
      </c>
      <c r="N78" s="262">
        <f>N71</f>
        <v>14.4</v>
      </c>
      <c r="O78" s="262">
        <f t="shared" ref="O78:T78" si="158">O71</f>
        <v>1.65</v>
      </c>
      <c r="P78" s="262">
        <f t="shared" si="158"/>
        <v>2.5148999999999999</v>
      </c>
      <c r="Q78" s="262">
        <f t="shared" si="158"/>
        <v>1.21</v>
      </c>
      <c r="R78" s="262">
        <f t="shared" si="158"/>
        <v>3.3930000000000002</v>
      </c>
      <c r="S78" s="262">
        <f t="shared" si="158"/>
        <v>3.6</v>
      </c>
      <c r="T78" s="262">
        <f t="shared" si="158"/>
        <v>0</v>
      </c>
      <c r="U78" s="338">
        <f>IFERROR(SUMPRODUCT(N77:T77,N78:T78)/ SUM(N77:T77),0)</f>
        <v>0</v>
      </c>
      <c r="V78" s="339" t="s">
        <v>815</v>
      </c>
      <c r="W78" s="262">
        <f>W71</f>
        <v>14.4</v>
      </c>
      <c r="X78" s="262">
        <f t="shared" ref="X78:AC78" si="159">X71</f>
        <v>1.65</v>
      </c>
      <c r="Y78" s="262">
        <f t="shared" si="159"/>
        <v>2.5148999999999999</v>
      </c>
      <c r="Z78" s="262">
        <f t="shared" si="159"/>
        <v>1.21</v>
      </c>
      <c r="AA78" s="262">
        <f t="shared" si="159"/>
        <v>3.3930000000000002</v>
      </c>
      <c r="AB78" s="262">
        <f t="shared" si="159"/>
        <v>3.6</v>
      </c>
      <c r="AC78" s="262">
        <f t="shared" si="159"/>
        <v>0</v>
      </c>
      <c r="AD78" s="338">
        <f>IFERROR(SUMPRODUCT(W77:AC77,W78:AC78)/ SUM(W77:AC77),0)</f>
        <v>0</v>
      </c>
      <c r="AE78" s="495">
        <f>L78*$G$3+U78*$P$3</f>
        <v>0</v>
      </c>
      <c r="AF78" s="407" t="e">
        <f>L78*$G$3/(L81*0.01)+U78*$P$3/(U81*0.01)</f>
        <v>#DIV/0!</v>
      </c>
    </row>
    <row r="79" spans="2:32" s="144" customFormat="1">
      <c r="B79" s="433"/>
      <c r="C79" s="451"/>
      <c r="D79" s="427" t="s">
        <v>816</v>
      </c>
      <c r="E79" s="331">
        <f>VLOOKUP(E6,'Feed parameters'!$A$2:$M$113,7, FALSE)</f>
        <v>0.79859999999999998</v>
      </c>
      <c r="F79" s="262">
        <f>VLOOKUP(F6,'Feed parameters'!$A$2:$M$113,7, FALSE)</f>
        <v>0.65213596800000007</v>
      </c>
      <c r="G79" s="262">
        <f>VLOOKUP(G6,FEED_P[[#All],[Feed]:[DE (fraction)]],7, FALSE)</f>
        <v>0.53459999999999996</v>
      </c>
      <c r="H79" s="262">
        <f>VLOOKUP(H6,'Feed parameters'!$A$2:$M$113,7, FALSE)</f>
        <v>0.5411999999999999</v>
      </c>
      <c r="I79" s="262">
        <f>VLOOKUP(I6,'Feed parameters'!$A$2:$M$113,7, FALSE)</f>
        <v>0.45539999999999997</v>
      </c>
      <c r="J79" s="262">
        <f>VLOOKUP(J6,'Feed parameters'!$A$2:$M$113,7, FALSE)</f>
        <v>0.33</v>
      </c>
      <c r="K79" s="262">
        <f>VLOOKUP(K6,'Feed parameters'!$A$2:$M$113,7, FALSE)</f>
        <v>0</v>
      </c>
      <c r="L79" s="332">
        <f>IFERROR(SUMPRODUCT(E77:K77,E79:K79)/ SUM(E77:K77),0)</f>
        <v>0</v>
      </c>
      <c r="M79" s="339" t="s">
        <v>816</v>
      </c>
      <c r="N79" s="262">
        <f t="shared" ref="N79:T81" si="160">N72</f>
        <v>0.79859999999999998</v>
      </c>
      <c r="O79" s="262">
        <f t="shared" si="160"/>
        <v>0.65213596800000007</v>
      </c>
      <c r="P79" s="262">
        <f t="shared" si="160"/>
        <v>0.53459999999999996</v>
      </c>
      <c r="Q79" s="262">
        <f t="shared" si="160"/>
        <v>0.5411999999999999</v>
      </c>
      <c r="R79" s="262">
        <f t="shared" si="160"/>
        <v>0.45539999999999997</v>
      </c>
      <c r="S79" s="262">
        <f t="shared" si="160"/>
        <v>0.33</v>
      </c>
      <c r="T79" s="262">
        <f t="shared" si="160"/>
        <v>0</v>
      </c>
      <c r="U79" s="338">
        <f>IFERROR(SUMPRODUCT(N77:T77,N79:T79)/ SUM(N77:T77),0)</f>
        <v>0</v>
      </c>
      <c r="V79" s="339" t="s">
        <v>816</v>
      </c>
      <c r="W79" s="262">
        <f t="shared" ref="W79:AC79" si="161">W72</f>
        <v>0.79859999999999998</v>
      </c>
      <c r="X79" s="262">
        <f t="shared" si="161"/>
        <v>0.65213596800000007</v>
      </c>
      <c r="Y79" s="262">
        <f t="shared" si="161"/>
        <v>0.53459999999999996</v>
      </c>
      <c r="Z79" s="262">
        <f t="shared" si="161"/>
        <v>0.5411999999999999</v>
      </c>
      <c r="AA79" s="262">
        <f t="shared" si="161"/>
        <v>0.45539999999999997</v>
      </c>
      <c r="AB79" s="262">
        <f t="shared" si="161"/>
        <v>0.33</v>
      </c>
      <c r="AC79" s="262">
        <f t="shared" si="161"/>
        <v>0</v>
      </c>
      <c r="AD79" s="338">
        <f>IFERROR(SUMPRODUCT(W77:AC77,W79:AC79)/ SUM(W77:AC77),0)</f>
        <v>0</v>
      </c>
      <c r="AE79" s="495">
        <f>L79*$G$3+U79*$P$3</f>
        <v>0</v>
      </c>
    </row>
    <row r="80" spans="2:32" s="144" customFormat="1">
      <c r="B80" s="431"/>
      <c r="C80" s="449"/>
      <c r="D80" s="427" t="s">
        <v>906</v>
      </c>
      <c r="E80" s="329">
        <f>VLOOKUP(E6,'Feed parameters'!$A$2:$M$113,4, FALSE)</f>
        <v>10.89</v>
      </c>
      <c r="F80" s="262">
        <f>VLOOKUP(F6,'Feed parameters'!$A$2:$M$113,4, FALSE)</f>
        <v>1.4821272000000001</v>
      </c>
      <c r="G80" s="262">
        <f>VLOOKUP(G6,FEED_P[[#All],[Feed]:[DE (fraction)]],4, FALSE)</f>
        <v>2.0168999999999997</v>
      </c>
      <c r="H80" s="262">
        <f>VLOOKUP(H6,'Feed parameters'!$A$2:$M$113,4, FALSE)</f>
        <v>1.8039999999999998</v>
      </c>
      <c r="I80" s="262">
        <f>VLOOKUP(I6,'Feed parameters'!$A$2:$M$113,4, FALSE)</f>
        <v>6.0030000000000001</v>
      </c>
      <c r="J80" s="262">
        <f>VLOOKUP(J6,'Feed parameters'!$A$2:$M$113,4, FALSE)</f>
        <v>3</v>
      </c>
      <c r="K80" s="262">
        <f>VLOOKUP(K6,'Feed parameters'!$A$2:$M$113,4, FALSE)</f>
        <v>0</v>
      </c>
      <c r="L80" s="330">
        <f>IFERROR(SUMPRODUCT(E77:K77,E80:K80)/ SUM(E77:K77),0)</f>
        <v>0</v>
      </c>
      <c r="M80" s="339" t="s">
        <v>906</v>
      </c>
      <c r="N80" s="262">
        <f t="shared" si="160"/>
        <v>10.89</v>
      </c>
      <c r="O80" s="262">
        <f t="shared" si="160"/>
        <v>1.4821272000000001</v>
      </c>
      <c r="P80" s="262">
        <f t="shared" si="160"/>
        <v>2.0168999999999997</v>
      </c>
      <c r="Q80" s="262">
        <f t="shared" si="160"/>
        <v>1.8039999999999998</v>
      </c>
      <c r="R80" s="262">
        <f t="shared" si="160"/>
        <v>6.0030000000000001</v>
      </c>
      <c r="S80" s="262">
        <f t="shared" si="160"/>
        <v>3</v>
      </c>
      <c r="T80" s="262">
        <f t="shared" si="160"/>
        <v>0</v>
      </c>
      <c r="U80" s="337">
        <f>IFERROR(SUMPRODUCT(N77:T77,N80:T80)/ SUM(N77:T77),0)</f>
        <v>0</v>
      </c>
      <c r="V80" s="339" t="s">
        <v>906</v>
      </c>
      <c r="W80" s="262">
        <f t="shared" ref="W80:AC80" si="162">W73</f>
        <v>10.89</v>
      </c>
      <c r="X80" s="262">
        <f t="shared" si="162"/>
        <v>1.4821272000000001</v>
      </c>
      <c r="Y80" s="262">
        <f t="shared" si="162"/>
        <v>2.0168999999999997</v>
      </c>
      <c r="Z80" s="262">
        <f t="shared" si="162"/>
        <v>1.8039999999999998</v>
      </c>
      <c r="AA80" s="262">
        <f t="shared" si="162"/>
        <v>6.0030000000000001</v>
      </c>
      <c r="AB80" s="262">
        <f t="shared" si="162"/>
        <v>3</v>
      </c>
      <c r="AC80" s="262">
        <f t="shared" si="162"/>
        <v>0</v>
      </c>
      <c r="AD80" s="337">
        <f>IFERROR(SUMPRODUCT(W77:AC77,W80:AC80)/ SUM(W77:AC77),0)</f>
        <v>0</v>
      </c>
      <c r="AE80" s="495"/>
    </row>
    <row r="81" spans="2:32" s="144" customFormat="1">
      <c r="B81" s="426"/>
      <c r="C81" s="445"/>
      <c r="D81" s="427" t="s">
        <v>1153</v>
      </c>
      <c r="E81" s="329">
        <f>VLOOKUP(E6,'Feed parameters'!$A$2:$M$113,2, FALSE)</f>
        <v>90</v>
      </c>
      <c r="F81" s="262">
        <f>VLOOKUP(F6,'Feed parameters'!$A$2:$M$113,2, FALSE)</f>
        <v>15</v>
      </c>
      <c r="G81" s="262">
        <f>VLOOKUP(G6,FEED_P[[#All],[Feed]:[DE (fraction)]],2, FALSE)</f>
        <v>24.9</v>
      </c>
      <c r="H81" s="262">
        <f>VLOOKUP(H6,'Feed parameters'!$A$2:$M$113,2, FALSE)</f>
        <v>22</v>
      </c>
      <c r="I81" s="262">
        <f>VLOOKUP(I6,'Feed parameters'!$A$2:$M$113,2, FALSE)</f>
        <v>87</v>
      </c>
      <c r="J81" s="262">
        <f>VLOOKUP(J6,'Feed parameters'!$A$2:$M$113,2, FALSE)</f>
        <v>60</v>
      </c>
      <c r="K81" s="262">
        <f>VLOOKUP(K6,'Feed parameters'!$A$2:$M$113,2, FALSE)</f>
        <v>0</v>
      </c>
      <c r="L81" s="330">
        <f>IFERROR(SUMPRODUCT(E77:K77,E81:K81)/ SUM(E77:K77),0)</f>
        <v>0</v>
      </c>
      <c r="M81" s="471" t="s">
        <v>1153</v>
      </c>
      <c r="N81" s="262">
        <f t="shared" si="160"/>
        <v>90</v>
      </c>
      <c r="O81" s="262">
        <f t="shared" si="160"/>
        <v>15</v>
      </c>
      <c r="P81" s="262">
        <f t="shared" si="160"/>
        <v>24.9</v>
      </c>
      <c r="Q81" s="262">
        <f t="shared" si="160"/>
        <v>22</v>
      </c>
      <c r="R81" s="262">
        <f t="shared" si="160"/>
        <v>87</v>
      </c>
      <c r="S81" s="262">
        <f t="shared" si="160"/>
        <v>60</v>
      </c>
      <c r="T81" s="262">
        <f t="shared" si="160"/>
        <v>0</v>
      </c>
      <c r="U81" s="337">
        <f>IFERROR(SUMPRODUCT(N77:T77,N81:T81)/ SUM(N77:T77),0)</f>
        <v>0</v>
      </c>
      <c r="V81" s="471" t="s">
        <v>1153</v>
      </c>
      <c r="W81" s="262">
        <f t="shared" ref="W81:AC81" si="163">W74</f>
        <v>90</v>
      </c>
      <c r="X81" s="262">
        <f t="shared" si="163"/>
        <v>15</v>
      </c>
      <c r="Y81" s="262">
        <f t="shared" si="163"/>
        <v>24.9</v>
      </c>
      <c r="Z81" s="262">
        <f t="shared" si="163"/>
        <v>22</v>
      </c>
      <c r="AA81" s="262">
        <f t="shared" si="163"/>
        <v>87</v>
      </c>
      <c r="AB81" s="262">
        <f t="shared" si="163"/>
        <v>60</v>
      </c>
      <c r="AC81" s="262">
        <f t="shared" si="163"/>
        <v>0</v>
      </c>
      <c r="AD81" s="337">
        <f>IFERROR(SUMPRODUCT(W77:AC77,W81:AC81)/ SUM(W77:AC77),0)</f>
        <v>0</v>
      </c>
      <c r="AE81" s="495">
        <f>L81*$G$3+U81*$P$3</f>
        <v>0</v>
      </c>
    </row>
    <row r="82" spans="2:32" s="144" customFormat="1">
      <c r="B82" s="426"/>
      <c r="C82" s="445"/>
      <c r="D82" s="427" t="s">
        <v>1171</v>
      </c>
      <c r="E82" s="329">
        <f>IFERROR((E77*E81)/SUMPRODUCT($E77:$K77,$E81:$K81), 0)</f>
        <v>0</v>
      </c>
      <c r="F82" s="262">
        <f t="shared" ref="F82:K82" si="164">IFERROR((F77*F81)/SUMPRODUCT($E77:$K77,$E81:$K81), 0)</f>
        <v>0</v>
      </c>
      <c r="G82" s="262">
        <f t="shared" si="164"/>
        <v>0</v>
      </c>
      <c r="H82" s="262">
        <f t="shared" si="164"/>
        <v>0</v>
      </c>
      <c r="I82" s="262">
        <f t="shared" si="164"/>
        <v>0</v>
      </c>
      <c r="J82" s="262">
        <f t="shared" si="164"/>
        <v>0</v>
      </c>
      <c r="K82" s="262">
        <f t="shared" si="164"/>
        <v>0</v>
      </c>
      <c r="L82" s="330"/>
      <c r="M82" s="471" t="s">
        <v>1171</v>
      </c>
      <c r="N82" s="262">
        <f t="shared" ref="N82:T82" si="165">IFERROR((N77*N81)/SUMPRODUCT($N77:$T77,$N81:$T81),0)</f>
        <v>0</v>
      </c>
      <c r="O82" s="262">
        <f t="shared" si="165"/>
        <v>0</v>
      </c>
      <c r="P82" s="262">
        <f t="shared" si="165"/>
        <v>0</v>
      </c>
      <c r="Q82" s="262">
        <f t="shared" si="165"/>
        <v>0</v>
      </c>
      <c r="R82" s="262">
        <f t="shared" si="165"/>
        <v>0</v>
      </c>
      <c r="S82" s="262">
        <f t="shared" si="165"/>
        <v>0</v>
      </c>
      <c r="T82" s="262">
        <f t="shared" si="165"/>
        <v>0</v>
      </c>
      <c r="U82" s="337"/>
      <c r="V82" s="471" t="s">
        <v>1171</v>
      </c>
      <c r="W82" s="262">
        <f>IFERROR((W77*W81)/SUMPRODUCT($W77:$AC77,$W81:$AC81), 0)</f>
        <v>0</v>
      </c>
      <c r="X82" s="262">
        <f t="shared" ref="X82" si="166">IFERROR((X77*X81)/SUMPRODUCT($W77:$AC77,$W81:$AC81), 0)</f>
        <v>0</v>
      </c>
      <c r="Y82" s="262">
        <f t="shared" ref="Y82" si="167">IFERROR((Y77*Y81)/SUMPRODUCT($W77:$AC77,$W81:$AC81), 0)</f>
        <v>0</v>
      </c>
      <c r="Z82" s="262">
        <f t="shared" ref="Z82" si="168">IFERROR((Z77*Z81)/SUMPRODUCT($W77:$AC77,$W81:$AC81), 0)</f>
        <v>0</v>
      </c>
      <c r="AA82" s="262">
        <f t="shared" ref="AA82" si="169">IFERROR((AA77*AA81)/SUMPRODUCT($W77:$AC77,$W81:$AC81), 0)</f>
        <v>0</v>
      </c>
      <c r="AB82" s="262">
        <f t="shared" ref="AB82" si="170">IFERROR((AB77*AB81)/SUMPRODUCT($W77:$AC77,$W81:$AC81), 0)</f>
        <v>0</v>
      </c>
      <c r="AC82" s="262">
        <f t="shared" ref="AC82" si="171">IFERROR((AC77*AC81)/SUMPRODUCT($W77:$AC77,$W81:$AC81), 0)</f>
        <v>0</v>
      </c>
      <c r="AD82" s="337"/>
      <c r="AE82" s="495"/>
    </row>
    <row r="83" spans="2:32" s="144" customFormat="1">
      <c r="B83" s="426"/>
      <c r="C83" s="445"/>
      <c r="D83" s="427"/>
      <c r="E83" s="329"/>
      <c r="F83" s="262"/>
      <c r="G83" s="262"/>
      <c r="H83" s="262"/>
      <c r="I83" s="262"/>
      <c r="J83" s="262"/>
      <c r="K83" s="262"/>
      <c r="L83" s="330"/>
      <c r="M83" s="471"/>
      <c r="N83" s="262"/>
      <c r="O83" s="262"/>
      <c r="P83" s="262"/>
      <c r="Q83" s="262"/>
      <c r="R83" s="262"/>
      <c r="S83" s="262"/>
      <c r="T83" s="262"/>
      <c r="U83" s="337"/>
      <c r="V83" s="471"/>
      <c r="W83" s="262"/>
      <c r="X83" s="262"/>
      <c r="Y83" s="262"/>
      <c r="Z83" s="262"/>
      <c r="AA83" s="262"/>
      <c r="AB83" s="262"/>
      <c r="AC83" s="262"/>
      <c r="AD83" s="337"/>
      <c r="AE83" s="495"/>
    </row>
    <row r="84" spans="2:32" s="144" customFormat="1">
      <c r="B84" s="432">
        <f>INPUTS!C26</f>
        <v>0</v>
      </c>
      <c r="C84" s="445"/>
      <c r="D84" s="425" t="s">
        <v>1170</v>
      </c>
      <c r="E84" s="327">
        <f>INPUTS!N56</f>
        <v>0</v>
      </c>
      <c r="F84" s="893">
        <f>INPUTS!N57</f>
        <v>0</v>
      </c>
      <c r="G84" s="893">
        <f>INPUTS!N58</f>
        <v>0</v>
      </c>
      <c r="H84" s="893">
        <f>INPUTS!N59</f>
        <v>0</v>
      </c>
      <c r="I84" s="893">
        <f>INPUTS!N60</f>
        <v>0</v>
      </c>
      <c r="J84" s="893">
        <f>INPUTS!N61</f>
        <v>0</v>
      </c>
      <c r="K84" s="893">
        <f>INPUTS!N62</f>
        <v>0</v>
      </c>
      <c r="L84" s="328"/>
      <c r="M84" s="471" t="s">
        <v>1170</v>
      </c>
      <c r="N84" s="262">
        <f>INPUTS!AC56</f>
        <v>0</v>
      </c>
      <c r="O84" s="262">
        <f>INPUTS!AC57</f>
        <v>0</v>
      </c>
      <c r="P84" s="262">
        <f>INPUTS!AC58</f>
        <v>0</v>
      </c>
      <c r="Q84" s="262">
        <f>INPUTS!AC59</f>
        <v>0</v>
      </c>
      <c r="R84" s="262">
        <f>INPUTS!AC60</f>
        <v>0</v>
      </c>
      <c r="S84" s="262">
        <f>INPUTS!AC61</f>
        <v>0</v>
      </c>
      <c r="T84" s="262">
        <f>INPUTS!AC62</f>
        <v>0</v>
      </c>
      <c r="U84" s="337"/>
      <c r="V84" s="471" t="s">
        <v>1170</v>
      </c>
      <c r="W84" s="262">
        <f>INPUTS!AR56</f>
        <v>0</v>
      </c>
      <c r="X84" s="262">
        <f>INPUTS!AR57</f>
        <v>0</v>
      </c>
      <c r="Y84" s="262">
        <f>INPUTS!AR58</f>
        <v>0</v>
      </c>
      <c r="Z84" s="262">
        <f>INPUTS!AR59</f>
        <v>0</v>
      </c>
      <c r="AA84" s="262">
        <f>INPUTS!AR60</f>
        <v>0</v>
      </c>
      <c r="AB84" s="262">
        <f>INPUTS!AR61</f>
        <v>0</v>
      </c>
      <c r="AC84" s="262">
        <f>INPUTS!AR62</f>
        <v>0</v>
      </c>
      <c r="AD84" s="337"/>
      <c r="AE84" s="494"/>
      <c r="AF84" s="292"/>
    </row>
    <row r="85" spans="2:32" s="144" customFormat="1">
      <c r="B85" s="426"/>
      <c r="C85" s="445"/>
      <c r="D85" s="427" t="s">
        <v>815</v>
      </c>
      <c r="E85" s="331">
        <f>VLOOKUP(E6,'Feed parameters'!$A$2:$M$113,6, FALSE)</f>
        <v>14.4</v>
      </c>
      <c r="F85" s="262">
        <f>VLOOKUP(F6,'Feed parameters'!$A$2:$M$113,6, FALSE)</f>
        <v>1.65</v>
      </c>
      <c r="G85" s="262">
        <f>VLOOKUP(G6,'Feed parameters'!A2:G114,6, FALSE)</f>
        <v>2.5148999999999999</v>
      </c>
      <c r="H85" s="262">
        <f>VLOOKUP(H6,'Feed parameters'!$A$2:$M$113,6, FALSE)</f>
        <v>1.21</v>
      </c>
      <c r="I85" s="262">
        <f>VLOOKUP(I6,'Feed parameters'!$A$2:$M$113,6, FALSE)</f>
        <v>3.3930000000000002</v>
      </c>
      <c r="J85" s="262">
        <f>VLOOKUP(J6,'Feed parameters'!$A$2:$M$113,6, FALSE)</f>
        <v>3.6</v>
      </c>
      <c r="K85" s="262">
        <f>VLOOKUP(K6,'Feed parameters'!$A$2:$M$113,6, FALSE)</f>
        <v>0</v>
      </c>
      <c r="L85" s="332">
        <f>IFERROR(SUMPRODUCT(E84:K84,E85:K85)/ SUM(E84:K84),0)</f>
        <v>0</v>
      </c>
      <c r="M85" s="471" t="s">
        <v>815</v>
      </c>
      <c r="N85" s="262">
        <f>N78</f>
        <v>14.4</v>
      </c>
      <c r="O85" s="262">
        <f t="shared" ref="O85:T85" si="172">O64</f>
        <v>1.65</v>
      </c>
      <c r="P85" s="262">
        <f t="shared" si="172"/>
        <v>2.5148999999999999</v>
      </c>
      <c r="Q85" s="262">
        <f t="shared" si="172"/>
        <v>1.21</v>
      </c>
      <c r="R85" s="262">
        <f t="shared" si="172"/>
        <v>3.3930000000000002</v>
      </c>
      <c r="S85" s="262">
        <f t="shared" si="172"/>
        <v>3.6</v>
      </c>
      <c r="T85" s="262">
        <f t="shared" si="172"/>
        <v>0</v>
      </c>
      <c r="U85" s="337">
        <f>IFERROR(SUMPRODUCT(N84:T84,N85:T85)/ SUM(N84:T84),0)</f>
        <v>0</v>
      </c>
      <c r="V85" s="471" t="s">
        <v>815</v>
      </c>
      <c r="W85" s="262">
        <f>W78</f>
        <v>14.4</v>
      </c>
      <c r="X85" s="262">
        <f t="shared" ref="X85:AC85" si="173">X64</f>
        <v>1.65</v>
      </c>
      <c r="Y85" s="262">
        <f t="shared" si="173"/>
        <v>2.5148999999999999</v>
      </c>
      <c r="Z85" s="262">
        <f t="shared" si="173"/>
        <v>1.21</v>
      </c>
      <c r="AA85" s="262">
        <f t="shared" si="173"/>
        <v>3.3930000000000002</v>
      </c>
      <c r="AB85" s="262">
        <f t="shared" si="173"/>
        <v>3.6</v>
      </c>
      <c r="AC85" s="262">
        <f t="shared" si="173"/>
        <v>0</v>
      </c>
      <c r="AD85" s="337">
        <f>IFERROR(SUMPRODUCT(W84:AC84,W85:AC85)/ SUM(W84:AC84),0)</f>
        <v>0</v>
      </c>
      <c r="AE85" s="495">
        <f>L85*$G$3+U85*$P$3</f>
        <v>0</v>
      </c>
      <c r="AF85" s="407" t="e">
        <f>L85*$G$3/(L88*0.01)+U85*$P$3/(U88*0.01)</f>
        <v>#DIV/0!</v>
      </c>
    </row>
    <row r="86" spans="2:32" s="144" customFormat="1">
      <c r="B86" s="426"/>
      <c r="C86" s="445"/>
      <c r="D86" s="427" t="s">
        <v>816</v>
      </c>
      <c r="E86" s="331">
        <f>VLOOKUP(E6,'Feed parameters'!$A$2:$M$113,7, FALSE)</f>
        <v>0.79859999999999998</v>
      </c>
      <c r="F86" s="262">
        <f>VLOOKUP(F6,'Feed parameters'!$A$2:$M$113,7, FALSE)</f>
        <v>0.65213596800000007</v>
      </c>
      <c r="G86" s="262">
        <f>VLOOKUP(G6,'Feed parameters'!A2:G114,7, FALSE)</f>
        <v>0.53459999999999996</v>
      </c>
      <c r="H86" s="262">
        <f>VLOOKUP(H6,'Feed parameters'!$A$2:$M$113,7, FALSE)</f>
        <v>0.5411999999999999</v>
      </c>
      <c r="I86" s="262">
        <f>VLOOKUP(I6,'Feed parameters'!$A$2:$M$113,7, FALSE)</f>
        <v>0.45539999999999997</v>
      </c>
      <c r="J86" s="262">
        <f>VLOOKUP(J6,'Feed parameters'!$A$2:$M$113,7, FALSE)</f>
        <v>0.33</v>
      </c>
      <c r="K86" s="262">
        <f>VLOOKUP(K6,'Feed parameters'!$A$2:$M$113,7, FALSE)</f>
        <v>0</v>
      </c>
      <c r="L86" s="332">
        <f>IFERROR(SUMPRODUCT(E84:K84,E86:K86)/ SUM(E84:K84),0)</f>
        <v>0</v>
      </c>
      <c r="M86" s="471" t="s">
        <v>816</v>
      </c>
      <c r="N86" s="262">
        <f t="shared" ref="N86:N88" si="174">N79</f>
        <v>0.79859999999999998</v>
      </c>
      <c r="O86" s="262">
        <f t="shared" ref="O86:T86" si="175">O65</f>
        <v>0.65213596800000007</v>
      </c>
      <c r="P86" s="262">
        <f t="shared" si="175"/>
        <v>0.53459999999999996</v>
      </c>
      <c r="Q86" s="262">
        <f t="shared" si="175"/>
        <v>0.5411999999999999</v>
      </c>
      <c r="R86" s="262">
        <f t="shared" si="175"/>
        <v>0.45539999999999997</v>
      </c>
      <c r="S86" s="262">
        <f t="shared" si="175"/>
        <v>0.33</v>
      </c>
      <c r="T86" s="262">
        <f t="shared" si="175"/>
        <v>0</v>
      </c>
      <c r="U86" s="337">
        <f>IFERROR(SUMPRODUCT(N84:T84,N86:T86)/ SUM(N84:T84),0)</f>
        <v>0</v>
      </c>
      <c r="V86" s="471" t="s">
        <v>816</v>
      </c>
      <c r="W86" s="262">
        <f t="shared" ref="W86:W88" si="176">W79</f>
        <v>0.79859999999999998</v>
      </c>
      <c r="X86" s="262">
        <f t="shared" ref="X86:AC86" si="177">X65</f>
        <v>0.65213596800000007</v>
      </c>
      <c r="Y86" s="262">
        <f t="shared" si="177"/>
        <v>0.53459999999999996</v>
      </c>
      <c r="Z86" s="262">
        <f t="shared" si="177"/>
        <v>0.5411999999999999</v>
      </c>
      <c r="AA86" s="262">
        <f t="shared" si="177"/>
        <v>0.45539999999999997</v>
      </c>
      <c r="AB86" s="262">
        <f t="shared" si="177"/>
        <v>0.33</v>
      </c>
      <c r="AC86" s="262">
        <f t="shared" si="177"/>
        <v>0</v>
      </c>
      <c r="AD86" s="337">
        <f>IFERROR(SUMPRODUCT(W84:AC84,W86:AC86)/ SUM(W84:AC84),0)</f>
        <v>0</v>
      </c>
      <c r="AE86" s="495">
        <f>L86*$G$3+U86*$P$3</f>
        <v>0</v>
      </c>
    </row>
    <row r="87" spans="2:32" s="144" customFormat="1">
      <c r="B87" s="426"/>
      <c r="C87" s="445"/>
      <c r="D87" s="427" t="s">
        <v>906</v>
      </c>
      <c r="E87" s="329">
        <f>VLOOKUP(E6,'Feed parameters'!$A$2:$M$113,4, FALSE)</f>
        <v>10.89</v>
      </c>
      <c r="F87" s="262">
        <f>VLOOKUP(F6,'Feed parameters'!$A$2:$M$113,4, FALSE)</f>
        <v>1.4821272000000001</v>
      </c>
      <c r="G87" s="262">
        <f>VLOOKUP(G6,'Feed parameters'!A2:G114,4, FALSE)</f>
        <v>2.0168999999999997</v>
      </c>
      <c r="H87" s="262">
        <f>VLOOKUP(H6,'Feed parameters'!$A$2:$M$113,4, FALSE)</f>
        <v>1.8039999999999998</v>
      </c>
      <c r="I87" s="262">
        <f>VLOOKUP(I6,'Feed parameters'!$A$2:$M$113,4, FALSE)</f>
        <v>6.0030000000000001</v>
      </c>
      <c r="J87" s="262">
        <f>VLOOKUP(J6,'Feed parameters'!$A$2:$M$113,4, FALSE)</f>
        <v>3</v>
      </c>
      <c r="K87" s="262">
        <f>VLOOKUP(K6,'Feed parameters'!$A$2:$M$113,4, FALSE)</f>
        <v>0</v>
      </c>
      <c r="L87" s="330">
        <f>IFERROR(SUMPRODUCT(E84:K84,E87:K87)/ SUM(E84:K84),0)</f>
        <v>0</v>
      </c>
      <c r="M87" s="471" t="s">
        <v>906</v>
      </c>
      <c r="N87" s="262">
        <f t="shared" si="174"/>
        <v>10.89</v>
      </c>
      <c r="O87" s="262">
        <f t="shared" ref="O87:T87" si="178">O66</f>
        <v>1.4821272000000001</v>
      </c>
      <c r="P87" s="262">
        <f t="shared" si="178"/>
        <v>2.0168999999999997</v>
      </c>
      <c r="Q87" s="262">
        <f t="shared" si="178"/>
        <v>1.8039999999999998</v>
      </c>
      <c r="R87" s="262">
        <f t="shared" si="178"/>
        <v>6.0030000000000001</v>
      </c>
      <c r="S87" s="262">
        <f t="shared" si="178"/>
        <v>3</v>
      </c>
      <c r="T87" s="262">
        <f t="shared" si="178"/>
        <v>0</v>
      </c>
      <c r="U87" s="337">
        <f>IFERROR(SUMPRODUCT(N84:T84,N87:T87)/ SUM(N84:T84),0)</f>
        <v>0</v>
      </c>
      <c r="V87" s="471" t="s">
        <v>906</v>
      </c>
      <c r="W87" s="262">
        <f t="shared" si="176"/>
        <v>10.89</v>
      </c>
      <c r="X87" s="262">
        <f t="shared" ref="X87:AC87" si="179">X66</f>
        <v>1.4821272000000001</v>
      </c>
      <c r="Y87" s="262">
        <f t="shared" si="179"/>
        <v>2.0168999999999997</v>
      </c>
      <c r="Z87" s="262">
        <f t="shared" si="179"/>
        <v>1.8039999999999998</v>
      </c>
      <c r="AA87" s="262">
        <f t="shared" si="179"/>
        <v>6.0030000000000001</v>
      </c>
      <c r="AB87" s="262">
        <f t="shared" si="179"/>
        <v>3</v>
      </c>
      <c r="AC87" s="262">
        <f t="shared" si="179"/>
        <v>0</v>
      </c>
      <c r="AD87" s="337">
        <f>IFERROR(SUMPRODUCT(W84:AC84,W87:AC87)/ SUM(W84:AC84),0)</f>
        <v>0</v>
      </c>
      <c r="AE87" s="495"/>
    </row>
    <row r="88" spans="2:32" s="144" customFormat="1">
      <c r="B88" s="426"/>
      <c r="C88" s="445"/>
      <c r="D88" s="427" t="s">
        <v>1153</v>
      </c>
      <c r="E88" s="329">
        <f>VLOOKUP(E6,'Feed parameters'!$A$2:$M$113,2, FALSE)</f>
        <v>90</v>
      </c>
      <c r="F88" s="262">
        <f>VLOOKUP(F6,'Feed parameters'!$A$2:$M$113,2, FALSE)</f>
        <v>15</v>
      </c>
      <c r="G88" s="262">
        <f>VLOOKUP(G6,'Feed parameters'!A2:G114,2, FALSE)</f>
        <v>24.9</v>
      </c>
      <c r="H88" s="262">
        <f>VLOOKUP(H6,'Feed parameters'!$A$2:$M$113,2, FALSE)</f>
        <v>22</v>
      </c>
      <c r="I88" s="262">
        <f>VLOOKUP(I6,'Feed parameters'!$A$2:$M$113,2, FALSE)</f>
        <v>87</v>
      </c>
      <c r="J88" s="262">
        <f>VLOOKUP(J6,'Feed parameters'!$A$2:$M$113,2, FALSE)</f>
        <v>60</v>
      </c>
      <c r="K88" s="262">
        <f>VLOOKUP(K6,'Feed parameters'!$A$2:$M$113,2, FALSE)</f>
        <v>0</v>
      </c>
      <c r="L88" s="330">
        <f>IFERROR(SUMPRODUCT(E84:K84,E88:K88)/ SUM(E84:K84),0)</f>
        <v>0</v>
      </c>
      <c r="M88" s="471" t="s">
        <v>1153</v>
      </c>
      <c r="N88" s="262">
        <f t="shared" si="174"/>
        <v>90</v>
      </c>
      <c r="O88" s="262">
        <f t="shared" ref="O88:T88" si="180">O67</f>
        <v>15</v>
      </c>
      <c r="P88" s="262">
        <f t="shared" si="180"/>
        <v>24.9</v>
      </c>
      <c r="Q88" s="262">
        <f t="shared" si="180"/>
        <v>22</v>
      </c>
      <c r="R88" s="262">
        <f t="shared" si="180"/>
        <v>87</v>
      </c>
      <c r="S88" s="262">
        <f t="shared" si="180"/>
        <v>60</v>
      </c>
      <c r="T88" s="262">
        <f t="shared" si="180"/>
        <v>0</v>
      </c>
      <c r="U88" s="337">
        <f>IFERROR(SUMPRODUCT(N84:T84,N88:T88)/ SUM(N84:T84),0)</f>
        <v>0</v>
      </c>
      <c r="V88" s="471" t="s">
        <v>1153</v>
      </c>
      <c r="W88" s="262">
        <f t="shared" si="176"/>
        <v>90</v>
      </c>
      <c r="X88" s="262">
        <f t="shared" ref="X88:AC88" si="181">X67</f>
        <v>15</v>
      </c>
      <c r="Y88" s="262">
        <f t="shared" si="181"/>
        <v>24.9</v>
      </c>
      <c r="Z88" s="262">
        <f t="shared" si="181"/>
        <v>22</v>
      </c>
      <c r="AA88" s="262">
        <f t="shared" si="181"/>
        <v>87</v>
      </c>
      <c r="AB88" s="262">
        <f t="shared" si="181"/>
        <v>60</v>
      </c>
      <c r="AC88" s="262">
        <f t="shared" si="181"/>
        <v>0</v>
      </c>
      <c r="AD88" s="337">
        <f>IFERROR(SUMPRODUCT(W84:AC84,W88:AC88)/ SUM(W84:AC84),0)</f>
        <v>0</v>
      </c>
      <c r="AE88" s="495">
        <f>L88*$G$3+U88*$P$3</f>
        <v>0</v>
      </c>
    </row>
    <row r="89" spans="2:32" s="144" customFormat="1">
      <c r="B89" s="426"/>
      <c r="C89" s="445"/>
      <c r="D89" s="427" t="s">
        <v>1171</v>
      </c>
      <c r="E89" s="329">
        <f>IFERROR((E84*E88)/SUMPRODUCT($E84:$K84,$E88:$K88), 0)</f>
        <v>0</v>
      </c>
      <c r="F89" s="262">
        <f>IFERROR((F84*F88)/SUMPRODUCT($E84:$K84,$E88:$K88), 0)</f>
        <v>0</v>
      </c>
      <c r="G89" s="262">
        <f t="shared" ref="G89:K89" si="182">IFERROR((G84*G88)/SUMPRODUCT($E84:$K84,$E88:$K88), 0)</f>
        <v>0</v>
      </c>
      <c r="H89" s="262">
        <f t="shared" si="182"/>
        <v>0</v>
      </c>
      <c r="I89" s="262">
        <f t="shared" si="182"/>
        <v>0</v>
      </c>
      <c r="J89" s="262">
        <f t="shared" si="182"/>
        <v>0</v>
      </c>
      <c r="K89" s="262">
        <f t="shared" si="182"/>
        <v>0</v>
      </c>
      <c r="L89" s="330"/>
      <c r="M89" s="471" t="s">
        <v>1171</v>
      </c>
      <c r="N89" s="262">
        <f t="shared" ref="N89" si="183">IFERROR((N84*N88)/SUMPRODUCT($N84:$T84,$N88:$T88),0)</f>
        <v>0</v>
      </c>
      <c r="O89" s="262">
        <f t="shared" ref="O89:T89" si="184">IFERROR((O84*O88)/SUMPRODUCT($N84:$T84,$N88:$T88),0)</f>
        <v>0</v>
      </c>
      <c r="P89" s="262">
        <f t="shared" si="184"/>
        <v>0</v>
      </c>
      <c r="Q89" s="262">
        <f t="shared" si="184"/>
        <v>0</v>
      </c>
      <c r="R89" s="262">
        <f t="shared" si="184"/>
        <v>0</v>
      </c>
      <c r="S89" s="262">
        <f t="shared" si="184"/>
        <v>0</v>
      </c>
      <c r="T89" s="262">
        <f t="shared" si="184"/>
        <v>0</v>
      </c>
      <c r="U89" s="337"/>
      <c r="V89" s="471" t="s">
        <v>1171</v>
      </c>
      <c r="W89" s="262">
        <f>IFERROR((W84*W88)/SUMPRODUCT($W84:$AC84,$W88:$AC88), 0)</f>
        <v>0</v>
      </c>
      <c r="X89" s="262">
        <f t="shared" ref="X89" si="185">IFERROR((X84*X88)/SUMPRODUCT($W84:$AC84,$W88:$AC88), 0)</f>
        <v>0</v>
      </c>
      <c r="Y89" s="262">
        <f t="shared" ref="Y89" si="186">IFERROR((Y84*Y88)/SUMPRODUCT($W84:$AC84,$W88:$AC88), 0)</f>
        <v>0</v>
      </c>
      <c r="Z89" s="262">
        <f t="shared" ref="Z89" si="187">IFERROR((Z84*Z88)/SUMPRODUCT($W84:$AC84,$W88:$AC88), 0)</f>
        <v>0</v>
      </c>
      <c r="AA89" s="262">
        <f t="shared" ref="AA89" si="188">IFERROR((AA84*AA88)/SUMPRODUCT($W84:$AC84,$W88:$AC88), 0)</f>
        <v>0</v>
      </c>
      <c r="AB89" s="262">
        <f t="shared" ref="AB89" si="189">IFERROR((AB84*AB88)/SUMPRODUCT($W84:$AC84,$W88:$AC88), 0)</f>
        <v>0</v>
      </c>
      <c r="AC89" s="262">
        <f t="shared" ref="AC89" si="190">IFERROR((AC84*AC88)/SUMPRODUCT($W84:$AC84,$W88:$AC88), 0)</f>
        <v>0</v>
      </c>
      <c r="AD89" s="337"/>
      <c r="AE89" s="495"/>
    </row>
    <row r="90" spans="2:32" s="144" customFormat="1">
      <c r="B90" s="426"/>
      <c r="C90" s="445"/>
      <c r="D90" s="427"/>
      <c r="E90" s="329"/>
      <c r="F90" s="262"/>
      <c r="G90" s="262"/>
      <c r="H90" s="262"/>
      <c r="I90" s="262"/>
      <c r="J90" s="262"/>
      <c r="K90" s="262"/>
      <c r="L90" s="330"/>
      <c r="M90" s="471"/>
      <c r="N90" s="262"/>
      <c r="O90" s="262"/>
      <c r="P90" s="262"/>
      <c r="Q90" s="262"/>
      <c r="R90" s="262"/>
      <c r="S90" s="262"/>
      <c r="T90" s="262"/>
      <c r="U90" s="337"/>
      <c r="V90" s="471"/>
      <c r="W90" s="262"/>
      <c r="X90" s="262"/>
      <c r="Y90" s="262"/>
      <c r="Z90" s="262"/>
      <c r="AA90" s="262"/>
      <c r="AB90" s="262"/>
      <c r="AC90" s="262"/>
      <c r="AD90" s="337"/>
      <c r="AE90" s="495"/>
    </row>
    <row r="91" spans="2:32" s="144" customFormat="1" ht="16.5" customHeight="1">
      <c r="B91" s="426">
        <f>INPUTS!C26</f>
        <v>0</v>
      </c>
      <c r="C91" s="445"/>
      <c r="D91" s="427" t="s">
        <v>1170</v>
      </c>
      <c r="E91" s="329">
        <f>INPUTS!O56</f>
        <v>0</v>
      </c>
      <c r="F91" s="262">
        <f>INPUTS!O57</f>
        <v>0</v>
      </c>
      <c r="G91" s="262">
        <f>INPUTS!O58</f>
        <v>0</v>
      </c>
      <c r="H91" s="262">
        <f>INPUTS!O59</f>
        <v>0</v>
      </c>
      <c r="I91" s="262">
        <f>INPUTS!O60</f>
        <v>0</v>
      </c>
      <c r="J91" s="262">
        <f>INPUTS!O61</f>
        <v>0</v>
      </c>
      <c r="K91" s="262">
        <f>INPUTS!O62</f>
        <v>0</v>
      </c>
      <c r="L91" s="330"/>
      <c r="M91" s="471" t="s">
        <v>1170</v>
      </c>
      <c r="N91" s="262">
        <f>INPUTS!AD56</f>
        <v>0</v>
      </c>
      <c r="O91" s="262">
        <f>INPUTS!AD57</f>
        <v>0</v>
      </c>
      <c r="P91" s="262">
        <f>INPUTS!AD58</f>
        <v>0</v>
      </c>
      <c r="Q91" s="262">
        <f>INPUTS!AD59</f>
        <v>0</v>
      </c>
      <c r="R91" s="262">
        <f>INPUTS!AD60</f>
        <v>0</v>
      </c>
      <c r="S91" s="262">
        <f>INPUTS!AD61</f>
        <v>0</v>
      </c>
      <c r="T91" s="262">
        <f>INPUTS!AD62</f>
        <v>0</v>
      </c>
      <c r="U91" s="337"/>
      <c r="V91" s="471" t="s">
        <v>1170</v>
      </c>
      <c r="W91" s="262">
        <f>INPUTS!AS56</f>
        <v>0</v>
      </c>
      <c r="X91" s="262">
        <f>INPUTS!AS57</f>
        <v>0</v>
      </c>
      <c r="Y91" s="262">
        <f>INPUTS!AS58</f>
        <v>0</v>
      </c>
      <c r="Z91" s="262">
        <f>INPUTS!AS59</f>
        <v>0</v>
      </c>
      <c r="AA91" s="262">
        <f>INPUTS!AS60</f>
        <v>0</v>
      </c>
      <c r="AB91" s="262">
        <f>INPUTS!AS61</f>
        <v>0</v>
      </c>
      <c r="AC91" s="262">
        <f>INPUTS!AS62</f>
        <v>0</v>
      </c>
      <c r="AD91" s="337"/>
      <c r="AE91" s="495"/>
    </row>
    <row r="92" spans="2:32" s="144" customFormat="1">
      <c r="B92" s="426"/>
      <c r="C92" s="445"/>
      <c r="D92" s="427" t="s">
        <v>815</v>
      </c>
      <c r="E92" s="329">
        <f>VLOOKUP(E6,'Feed parameters'!$A$2:$M$113,6, FALSE)</f>
        <v>14.4</v>
      </c>
      <c r="F92" s="262">
        <f>VLOOKUP(F6,'Feed parameters'!$A$2:$M$113,6, FALSE)</f>
        <v>1.65</v>
      </c>
      <c r="G92" s="262">
        <f>VLOOKUP(G6,'Feed parameters'!A2:G114,6, FALSE)</f>
        <v>2.5148999999999999</v>
      </c>
      <c r="H92" s="262">
        <f>VLOOKUP(H6,'Feed parameters'!$A$2:$M$113,6, FALSE)</f>
        <v>1.21</v>
      </c>
      <c r="I92" s="262">
        <f>VLOOKUP(I6,'Feed parameters'!$A$2:$M$113,6, FALSE)</f>
        <v>3.3930000000000002</v>
      </c>
      <c r="J92" s="262">
        <f>VLOOKUP(J6,'Feed parameters'!$A$2:$M$113,6, FALSE)</f>
        <v>3.6</v>
      </c>
      <c r="K92" s="262">
        <f>VLOOKUP(K6,'Feed parameters'!$A$2:$M$113,6, FALSE)</f>
        <v>0</v>
      </c>
      <c r="L92" s="330">
        <f>IFERROR(SUMPRODUCT(E91:K91,E92:K92)/ SUM(E91:K91),0)</f>
        <v>0</v>
      </c>
      <c r="M92" s="471" t="s">
        <v>815</v>
      </c>
      <c r="N92" s="262">
        <f>N85</f>
        <v>14.4</v>
      </c>
      <c r="O92" s="262">
        <f t="shared" ref="O92:T92" si="191">O85</f>
        <v>1.65</v>
      </c>
      <c r="P92" s="262">
        <f t="shared" si="191"/>
        <v>2.5148999999999999</v>
      </c>
      <c r="Q92" s="262">
        <f t="shared" si="191"/>
        <v>1.21</v>
      </c>
      <c r="R92" s="262">
        <f t="shared" si="191"/>
        <v>3.3930000000000002</v>
      </c>
      <c r="S92" s="262">
        <f t="shared" si="191"/>
        <v>3.6</v>
      </c>
      <c r="T92" s="262">
        <f t="shared" si="191"/>
        <v>0</v>
      </c>
      <c r="U92" s="337">
        <f>IFERROR(SUMPRODUCT(N91:T91,N92:T92)/ SUM(N91:T91),0)</f>
        <v>0</v>
      </c>
      <c r="V92" s="471" t="s">
        <v>815</v>
      </c>
      <c r="W92" s="262">
        <f>W85</f>
        <v>14.4</v>
      </c>
      <c r="X92" s="262">
        <f t="shared" ref="X92:AC92" si="192">X85</f>
        <v>1.65</v>
      </c>
      <c r="Y92" s="262">
        <f t="shared" si="192"/>
        <v>2.5148999999999999</v>
      </c>
      <c r="Z92" s="262">
        <f t="shared" si="192"/>
        <v>1.21</v>
      </c>
      <c r="AA92" s="262">
        <f t="shared" si="192"/>
        <v>3.3930000000000002</v>
      </c>
      <c r="AB92" s="262">
        <f t="shared" si="192"/>
        <v>3.6</v>
      </c>
      <c r="AC92" s="262">
        <f t="shared" si="192"/>
        <v>0</v>
      </c>
      <c r="AD92" s="337">
        <f>IFERROR(SUMPRODUCT(W91:AC91,W92:AC92)/ SUM(W91:AC91),0)</f>
        <v>0</v>
      </c>
      <c r="AE92" s="495">
        <f>L92*$G$3+U92*$P$3</f>
        <v>0</v>
      </c>
      <c r="AF92" s="184" t="e">
        <f>L92*$G$3/(L95*0.01)+U92*$P$3/(U95*0.01)</f>
        <v>#DIV/0!</v>
      </c>
    </row>
    <row r="93" spans="2:32" s="144" customFormat="1">
      <c r="B93" s="426"/>
      <c r="C93" s="445"/>
      <c r="D93" s="427" t="s">
        <v>816</v>
      </c>
      <c r="E93" s="329">
        <f>VLOOKUP(E6,'Feed parameters'!$A$2:$M$113,7, FALSE)</f>
        <v>0.79859999999999998</v>
      </c>
      <c r="F93" s="262">
        <f>VLOOKUP(F6,'Feed parameters'!$A$2:$M$113,7, FALSE)</f>
        <v>0.65213596800000007</v>
      </c>
      <c r="G93" s="262">
        <f>VLOOKUP(G6,'Feed parameters'!A2:G114,7, FALSE)</f>
        <v>0.53459999999999996</v>
      </c>
      <c r="H93" s="262">
        <f>VLOOKUP(H6,'Feed parameters'!$A$2:$M$113,7, FALSE)</f>
        <v>0.5411999999999999</v>
      </c>
      <c r="I93" s="262">
        <f>VLOOKUP(I6,'Feed parameters'!$A$2:$M$113,7, FALSE)</f>
        <v>0.45539999999999997</v>
      </c>
      <c r="J93" s="262">
        <f>VLOOKUP(J6,'Feed parameters'!$A$2:$M$113,7, FALSE)</f>
        <v>0.33</v>
      </c>
      <c r="K93" s="262">
        <f>VLOOKUP(K6,'Feed parameters'!$A$2:$M$113,7, FALSE)</f>
        <v>0</v>
      </c>
      <c r="L93" s="330">
        <f>IFERROR(SUMPRODUCT(E91:K91,E93:K93)/ SUM(E91:K91),0)</f>
        <v>0</v>
      </c>
      <c r="M93" s="471" t="s">
        <v>816</v>
      </c>
      <c r="N93" s="262">
        <f t="shared" ref="N93:T96" si="193">N86</f>
        <v>0.79859999999999998</v>
      </c>
      <c r="O93" s="262">
        <f t="shared" ref="O93:T93" si="194">O86</f>
        <v>0.65213596800000007</v>
      </c>
      <c r="P93" s="262">
        <f t="shared" si="194"/>
        <v>0.53459999999999996</v>
      </c>
      <c r="Q93" s="262">
        <f t="shared" si="194"/>
        <v>0.5411999999999999</v>
      </c>
      <c r="R93" s="262">
        <f t="shared" si="194"/>
        <v>0.45539999999999997</v>
      </c>
      <c r="S93" s="262">
        <f t="shared" si="194"/>
        <v>0.33</v>
      </c>
      <c r="T93" s="262">
        <f t="shared" si="194"/>
        <v>0</v>
      </c>
      <c r="U93" s="337">
        <f>IFERROR(SUMPRODUCT(N91:T91,N93:T93)/ SUM(N91:T91),0)</f>
        <v>0</v>
      </c>
      <c r="V93" s="471" t="s">
        <v>816</v>
      </c>
      <c r="W93" s="262">
        <f t="shared" ref="W93:AC93" si="195">W86</f>
        <v>0.79859999999999998</v>
      </c>
      <c r="X93" s="262">
        <f t="shared" si="195"/>
        <v>0.65213596800000007</v>
      </c>
      <c r="Y93" s="262">
        <f t="shared" si="195"/>
        <v>0.53459999999999996</v>
      </c>
      <c r="Z93" s="262">
        <f t="shared" si="195"/>
        <v>0.5411999999999999</v>
      </c>
      <c r="AA93" s="262">
        <f t="shared" si="195"/>
        <v>0.45539999999999997</v>
      </c>
      <c r="AB93" s="262">
        <f t="shared" si="195"/>
        <v>0.33</v>
      </c>
      <c r="AC93" s="262">
        <f t="shared" si="195"/>
        <v>0</v>
      </c>
      <c r="AD93" s="337">
        <f>IFERROR(SUMPRODUCT(W91:AC91,W93:AC93)/ SUM(W91:AC91),0)</f>
        <v>0</v>
      </c>
      <c r="AE93" s="495">
        <f>L93*$G$3+U93*$P$3</f>
        <v>0</v>
      </c>
    </row>
    <row r="94" spans="2:32" s="144" customFormat="1">
      <c r="B94" s="426"/>
      <c r="C94" s="445"/>
      <c r="D94" s="427" t="s">
        <v>906</v>
      </c>
      <c r="E94" s="329">
        <f>VLOOKUP(E6,'Feed parameters'!$A$2:$M$113,4, FALSE)</f>
        <v>10.89</v>
      </c>
      <c r="F94" s="262">
        <f>VLOOKUP(F6,'Feed parameters'!$A$2:$M$113,4, FALSE)</f>
        <v>1.4821272000000001</v>
      </c>
      <c r="G94" s="262">
        <f>VLOOKUP(G6,'Feed parameters'!A2:G114,4, FALSE)</f>
        <v>2.0168999999999997</v>
      </c>
      <c r="H94" s="262">
        <f>VLOOKUP(H6,'Feed parameters'!$A$2:$M$113,4, FALSE)</f>
        <v>1.8039999999999998</v>
      </c>
      <c r="I94" s="262">
        <f>VLOOKUP(I6,'Feed parameters'!$A$2:$M$113,4, FALSE)</f>
        <v>6.0030000000000001</v>
      </c>
      <c r="J94" s="262">
        <f>VLOOKUP(J6,'Feed parameters'!$A$2:$M$113,4, FALSE)</f>
        <v>3</v>
      </c>
      <c r="K94" s="262">
        <f>VLOOKUP(K6,'Feed parameters'!$A$2:$M$113,4, FALSE)</f>
        <v>0</v>
      </c>
      <c r="L94" s="330">
        <f>IFERROR(SUMPRODUCT(E91:K91,E94:K94)/ SUM(E91:K91),0)</f>
        <v>0</v>
      </c>
      <c r="M94" s="471" t="s">
        <v>906</v>
      </c>
      <c r="N94" s="262">
        <f t="shared" si="193"/>
        <v>10.89</v>
      </c>
      <c r="O94" s="262">
        <f t="shared" ref="O94:T94" si="196">O87</f>
        <v>1.4821272000000001</v>
      </c>
      <c r="P94" s="262">
        <f t="shared" si="196"/>
        <v>2.0168999999999997</v>
      </c>
      <c r="Q94" s="262">
        <f t="shared" si="196"/>
        <v>1.8039999999999998</v>
      </c>
      <c r="R94" s="262">
        <f t="shared" si="196"/>
        <v>6.0030000000000001</v>
      </c>
      <c r="S94" s="262">
        <f t="shared" si="196"/>
        <v>3</v>
      </c>
      <c r="T94" s="262">
        <f t="shared" si="196"/>
        <v>0</v>
      </c>
      <c r="U94" s="337">
        <f>IFERROR(SUMPRODUCT(N91:T91,N94:T94)/ SUM(N91:T91),0)</f>
        <v>0</v>
      </c>
      <c r="V94" s="471" t="s">
        <v>906</v>
      </c>
      <c r="W94" s="262">
        <f t="shared" ref="W94:AC94" si="197">W87</f>
        <v>10.89</v>
      </c>
      <c r="X94" s="262">
        <f t="shared" si="197"/>
        <v>1.4821272000000001</v>
      </c>
      <c r="Y94" s="262">
        <f t="shared" si="197"/>
        <v>2.0168999999999997</v>
      </c>
      <c r="Z94" s="262">
        <f t="shared" si="197"/>
        <v>1.8039999999999998</v>
      </c>
      <c r="AA94" s="262">
        <f t="shared" si="197"/>
        <v>6.0030000000000001</v>
      </c>
      <c r="AB94" s="262">
        <f t="shared" si="197"/>
        <v>3</v>
      </c>
      <c r="AC94" s="262">
        <f t="shared" si="197"/>
        <v>0</v>
      </c>
      <c r="AD94" s="337">
        <f>IFERROR(SUMPRODUCT(W91:AC91,W94:AC94)/ SUM(W91:AC91),0)</f>
        <v>0</v>
      </c>
      <c r="AE94" s="495"/>
    </row>
    <row r="95" spans="2:32" s="144" customFormat="1">
      <c r="B95" s="426"/>
      <c r="C95" s="445"/>
      <c r="D95" s="427" t="s">
        <v>1153</v>
      </c>
      <c r="E95" s="329">
        <f>VLOOKUP(E6,'Feed parameters'!$A$2:$M$113,2, FALSE)</f>
        <v>90</v>
      </c>
      <c r="F95" s="262">
        <f>VLOOKUP(F6,'Feed parameters'!$A$2:$M$113,2, FALSE)</f>
        <v>15</v>
      </c>
      <c r="G95" s="262">
        <f>VLOOKUP(G6,'Feed parameters'!A2:G114,2, FALSE)</f>
        <v>24.9</v>
      </c>
      <c r="H95" s="262">
        <f>VLOOKUP(H6,'Feed parameters'!$A$2:$M$113,2, FALSE)</f>
        <v>22</v>
      </c>
      <c r="I95" s="262">
        <f>VLOOKUP(I6,'Feed parameters'!$A$2:$M$113,2, FALSE)</f>
        <v>87</v>
      </c>
      <c r="J95" s="262">
        <f>VLOOKUP(J6,'Feed parameters'!$A$2:$M$113,2, FALSE)</f>
        <v>60</v>
      </c>
      <c r="K95" s="262">
        <f>VLOOKUP(K6,'Feed parameters'!$A$2:$M$113,2, FALSE)</f>
        <v>0</v>
      </c>
      <c r="L95" s="330">
        <f>IFERROR(SUMPRODUCT(E91:K91,E95:K95)/ SUM(E91:K91),0)</f>
        <v>0</v>
      </c>
      <c r="M95" s="471" t="s">
        <v>1153</v>
      </c>
      <c r="N95" s="262">
        <f t="shared" si="193"/>
        <v>90</v>
      </c>
      <c r="O95" s="262">
        <f t="shared" ref="O95:T95" si="198">O88</f>
        <v>15</v>
      </c>
      <c r="P95" s="262">
        <f t="shared" si="198"/>
        <v>24.9</v>
      </c>
      <c r="Q95" s="262">
        <f t="shared" si="198"/>
        <v>22</v>
      </c>
      <c r="R95" s="262">
        <f t="shared" si="198"/>
        <v>87</v>
      </c>
      <c r="S95" s="262">
        <f t="shared" si="198"/>
        <v>60</v>
      </c>
      <c r="T95" s="262">
        <f t="shared" si="198"/>
        <v>0</v>
      </c>
      <c r="U95" s="337">
        <f>IFERROR(SUMPRODUCT(N91:T91,N95:T95)/ SUM(N91:T91),0)</f>
        <v>0</v>
      </c>
      <c r="V95" s="471" t="s">
        <v>1153</v>
      </c>
      <c r="W95" s="262">
        <f t="shared" ref="W95:AC95" si="199">W88</f>
        <v>90</v>
      </c>
      <c r="X95" s="262">
        <f t="shared" si="199"/>
        <v>15</v>
      </c>
      <c r="Y95" s="262">
        <f t="shared" si="199"/>
        <v>24.9</v>
      </c>
      <c r="Z95" s="262">
        <f t="shared" si="199"/>
        <v>22</v>
      </c>
      <c r="AA95" s="262">
        <f t="shared" si="199"/>
        <v>87</v>
      </c>
      <c r="AB95" s="262">
        <f t="shared" si="199"/>
        <v>60</v>
      </c>
      <c r="AC95" s="262">
        <f t="shared" si="199"/>
        <v>0</v>
      </c>
      <c r="AD95" s="337">
        <f>IFERROR(SUMPRODUCT(W91:AC91,W95:AC95)/ SUM(W91:AC91),0)</f>
        <v>0</v>
      </c>
      <c r="AE95" s="495">
        <f>L95*$G$3+U95*$P$3</f>
        <v>0</v>
      </c>
    </row>
    <row r="96" spans="2:32" s="144" customFormat="1">
      <c r="B96" s="426"/>
      <c r="C96" s="445"/>
      <c r="D96" s="427" t="s">
        <v>1171</v>
      </c>
      <c r="E96" s="329">
        <f>IFERROR((E91*E95)/SUMPRODUCT($E91:$K91,$E95:$K95), 0)</f>
        <v>0</v>
      </c>
      <c r="F96" s="262">
        <f>IFERROR((F91*F95)/SUMPRODUCT($E91:$K91,$E95:$K95), 0)</f>
        <v>0</v>
      </c>
      <c r="G96" s="262">
        <f t="shared" ref="G96:K96" si="200">IFERROR((G91*G95)/SUMPRODUCT($E91:$K91,$E95:$K95), 0)</f>
        <v>0</v>
      </c>
      <c r="H96" s="262">
        <f t="shared" si="200"/>
        <v>0</v>
      </c>
      <c r="I96" s="262">
        <f t="shared" si="200"/>
        <v>0</v>
      </c>
      <c r="J96" s="262">
        <f t="shared" si="200"/>
        <v>0</v>
      </c>
      <c r="K96" s="262">
        <f t="shared" si="200"/>
        <v>0</v>
      </c>
      <c r="L96" s="330"/>
      <c r="M96" s="471" t="s">
        <v>1171</v>
      </c>
      <c r="N96" s="262">
        <f t="shared" ref="N96" si="201">IFERROR((N91*N95)/SUMPRODUCT($N91:$T91,$N95:$T95),0)</f>
        <v>0</v>
      </c>
      <c r="O96" s="262">
        <f t="shared" si="193"/>
        <v>0</v>
      </c>
      <c r="P96" s="262">
        <f t="shared" si="193"/>
        <v>0</v>
      </c>
      <c r="Q96" s="262">
        <f t="shared" si="193"/>
        <v>0</v>
      </c>
      <c r="R96" s="262">
        <f t="shared" si="193"/>
        <v>0</v>
      </c>
      <c r="S96" s="262">
        <f t="shared" si="193"/>
        <v>0</v>
      </c>
      <c r="T96" s="262">
        <f t="shared" si="193"/>
        <v>0</v>
      </c>
      <c r="U96" s="337"/>
      <c r="V96" s="471" t="s">
        <v>1171</v>
      </c>
      <c r="W96" s="262">
        <f>IFERROR((W91*W95)/SUMPRODUCT($W91:$AC91,$W95:$AC95), 0)</f>
        <v>0</v>
      </c>
      <c r="X96" s="262">
        <f t="shared" ref="X96" si="202">IFERROR((X91*X95)/SUMPRODUCT($W91:$AC91,$W95:$AC95), 0)</f>
        <v>0</v>
      </c>
      <c r="Y96" s="262">
        <f t="shared" ref="Y96" si="203">IFERROR((Y91*Y95)/SUMPRODUCT($W91:$AC91,$W95:$AC95), 0)</f>
        <v>0</v>
      </c>
      <c r="Z96" s="262">
        <f t="shared" ref="Z96" si="204">IFERROR((Z91*Z95)/SUMPRODUCT($W91:$AC91,$W95:$AC95), 0)</f>
        <v>0</v>
      </c>
      <c r="AA96" s="262">
        <f t="shared" ref="AA96" si="205">IFERROR((AA91*AA95)/SUMPRODUCT($W91:$AC91,$W95:$AC95), 0)</f>
        <v>0</v>
      </c>
      <c r="AB96" s="262">
        <f t="shared" ref="AB96" si="206">IFERROR((AB91*AB95)/SUMPRODUCT($W91:$AC91,$W95:$AC95), 0)</f>
        <v>0</v>
      </c>
      <c r="AC96" s="262">
        <f t="shared" ref="AC96" si="207">IFERROR((AC91*AC95)/SUMPRODUCT($W91:$AC91,$W95:$AC95), 0)</f>
        <v>0</v>
      </c>
      <c r="AD96" s="337"/>
      <c r="AE96" s="495"/>
    </row>
    <row r="97" spans="1:32" s="144" customFormat="1">
      <c r="B97" s="426"/>
      <c r="C97" s="445"/>
      <c r="D97" s="427"/>
      <c r="E97" s="329"/>
      <c r="F97" s="262"/>
      <c r="G97" s="262"/>
      <c r="H97" s="262"/>
      <c r="I97" s="262"/>
      <c r="J97" s="262"/>
      <c r="K97" s="262"/>
      <c r="L97" s="330"/>
      <c r="M97" s="471"/>
      <c r="N97" s="262"/>
      <c r="O97" s="262"/>
      <c r="P97" s="262"/>
      <c r="Q97" s="262"/>
      <c r="R97" s="262"/>
      <c r="S97" s="262"/>
      <c r="T97" s="262"/>
      <c r="U97" s="337"/>
      <c r="V97" s="471"/>
      <c r="W97" s="262"/>
      <c r="X97" s="262"/>
      <c r="Y97" s="262"/>
      <c r="Z97" s="262"/>
      <c r="AA97" s="262"/>
      <c r="AB97" s="262"/>
      <c r="AC97" s="262"/>
      <c r="AD97" s="337"/>
      <c r="AE97" s="495"/>
    </row>
    <row r="98" spans="1:32" s="144" customFormat="1">
      <c r="B98" s="426">
        <f>INPUTS!C26</f>
        <v>0</v>
      </c>
      <c r="C98" s="445"/>
      <c r="D98" s="427" t="s">
        <v>1170</v>
      </c>
      <c r="E98" s="329">
        <f>INPUTS!P56</f>
        <v>0</v>
      </c>
      <c r="F98" s="262">
        <f>INPUTS!P57</f>
        <v>0</v>
      </c>
      <c r="G98" s="262">
        <f>INPUTS!P58</f>
        <v>0</v>
      </c>
      <c r="H98" s="262">
        <f>INPUTS!P59</f>
        <v>0</v>
      </c>
      <c r="I98" s="262">
        <f>INPUTS!P60</f>
        <v>0</v>
      </c>
      <c r="J98" s="262">
        <f>INPUTS!P61</f>
        <v>0</v>
      </c>
      <c r="K98" s="262">
        <f>INPUTS!P62</f>
        <v>0</v>
      </c>
      <c r="L98" s="330"/>
      <c r="M98" s="471" t="s">
        <v>1170</v>
      </c>
      <c r="N98" s="262">
        <f>INPUTS!AE56</f>
        <v>0</v>
      </c>
      <c r="O98" s="262">
        <f>INPUTS!AE57</f>
        <v>0</v>
      </c>
      <c r="P98" s="262">
        <f>INPUTS!AE58</f>
        <v>0</v>
      </c>
      <c r="Q98" s="262">
        <f>INPUTS!AE59</f>
        <v>0</v>
      </c>
      <c r="R98" s="262">
        <f>INPUTS!AE60</f>
        <v>0</v>
      </c>
      <c r="S98" s="262">
        <f>INPUTS!AE61</f>
        <v>0</v>
      </c>
      <c r="T98" s="262">
        <f>INPUTS!AE62</f>
        <v>0</v>
      </c>
      <c r="U98" s="337"/>
      <c r="V98" s="471" t="s">
        <v>1170</v>
      </c>
      <c r="W98" s="262">
        <f>INPUTS!AT56</f>
        <v>0</v>
      </c>
      <c r="X98" s="262">
        <f>INPUTS!AT57</f>
        <v>0</v>
      </c>
      <c r="Y98" s="262">
        <f>INPUTS!AT58</f>
        <v>0</v>
      </c>
      <c r="Z98" s="262">
        <f>INPUTS!AT59</f>
        <v>0</v>
      </c>
      <c r="AA98" s="262">
        <f>INPUTS!AT60</f>
        <v>0</v>
      </c>
      <c r="AB98" s="262">
        <f>INPUTS!AT61</f>
        <v>0</v>
      </c>
      <c r="AC98" s="262">
        <f>INPUTS!AT62</f>
        <v>0</v>
      </c>
      <c r="AD98" s="337"/>
      <c r="AE98" s="495"/>
    </row>
    <row r="99" spans="1:32" s="144" customFormat="1">
      <c r="B99" s="426"/>
      <c r="C99" s="445"/>
      <c r="D99" s="427" t="s">
        <v>815</v>
      </c>
      <c r="E99" s="329">
        <f>VLOOKUP(E6,'Feed parameters'!$A$2:$M$113,6, FALSE)</f>
        <v>14.4</v>
      </c>
      <c r="F99" s="262">
        <f>VLOOKUP(F6,'Feed parameters'!$A$2:$M$113,6, FALSE)</f>
        <v>1.65</v>
      </c>
      <c r="G99" s="262">
        <f>VLOOKUP(G6,'Feed parameters'!A2:G114,6, FALSE)</f>
        <v>2.5148999999999999</v>
      </c>
      <c r="H99" s="262">
        <f>VLOOKUP(H6,'Feed parameters'!$A$2:$M$113,6, FALSE)</f>
        <v>1.21</v>
      </c>
      <c r="I99" s="262">
        <f>VLOOKUP(I6,'Feed parameters'!$A$2:$M$113,6, FALSE)</f>
        <v>3.3930000000000002</v>
      </c>
      <c r="J99" s="262">
        <f>VLOOKUP(J6,'Feed parameters'!$A$2:$M$113,6, FALSE)</f>
        <v>3.6</v>
      </c>
      <c r="K99" s="262">
        <f>VLOOKUP(K6,'Feed parameters'!$A$2:$M$113,6, FALSE)</f>
        <v>0</v>
      </c>
      <c r="L99" s="330">
        <f>IFERROR(SUMPRODUCT(E98:K98,E99:K99)/ SUM(E98:K98),0)</f>
        <v>0</v>
      </c>
      <c r="M99" s="471" t="s">
        <v>815</v>
      </c>
      <c r="N99" s="262">
        <f>N92</f>
        <v>14.4</v>
      </c>
      <c r="O99" s="262">
        <f t="shared" ref="O99:T99" si="208">O92</f>
        <v>1.65</v>
      </c>
      <c r="P99" s="262">
        <f t="shared" si="208"/>
        <v>2.5148999999999999</v>
      </c>
      <c r="Q99" s="262">
        <f t="shared" si="208"/>
        <v>1.21</v>
      </c>
      <c r="R99" s="262">
        <f t="shared" si="208"/>
        <v>3.3930000000000002</v>
      </c>
      <c r="S99" s="262">
        <f t="shared" si="208"/>
        <v>3.6</v>
      </c>
      <c r="T99" s="262">
        <f t="shared" si="208"/>
        <v>0</v>
      </c>
      <c r="U99" s="337">
        <f>IFERROR(SUMPRODUCT(N98:T98,N99:T99)/ SUM(N98:T98),0)</f>
        <v>0</v>
      </c>
      <c r="V99" s="471" t="s">
        <v>815</v>
      </c>
      <c r="W99" s="262">
        <f>W92</f>
        <v>14.4</v>
      </c>
      <c r="X99" s="262">
        <f t="shared" ref="X99:AC99" si="209">X92</f>
        <v>1.65</v>
      </c>
      <c r="Y99" s="262">
        <f t="shared" si="209"/>
        <v>2.5148999999999999</v>
      </c>
      <c r="Z99" s="262">
        <f t="shared" si="209"/>
        <v>1.21</v>
      </c>
      <c r="AA99" s="262">
        <f t="shared" si="209"/>
        <v>3.3930000000000002</v>
      </c>
      <c r="AB99" s="262">
        <f t="shared" si="209"/>
        <v>3.6</v>
      </c>
      <c r="AC99" s="262">
        <f t="shared" si="209"/>
        <v>0</v>
      </c>
      <c r="AD99" s="337">
        <f>IFERROR(SUMPRODUCT(W98:AC98,W99:AC99)/ SUM(W98:AC98),0)</f>
        <v>0</v>
      </c>
      <c r="AE99" s="495">
        <f>L99*$G$3+U99*$P$3</f>
        <v>0</v>
      </c>
      <c r="AF99" s="184" t="e">
        <f>L99*$G$3/(L102*0.01)+U99*$P$3/(U102*0.01)</f>
        <v>#DIV/0!</v>
      </c>
    </row>
    <row r="100" spans="1:32" s="144" customFormat="1">
      <c r="B100" s="426"/>
      <c r="C100" s="445"/>
      <c r="D100" s="427" t="s">
        <v>816</v>
      </c>
      <c r="E100" s="329">
        <f>VLOOKUP(E6,'Feed parameters'!$A$2:$M$113,7, FALSE)</f>
        <v>0.79859999999999998</v>
      </c>
      <c r="F100" s="262">
        <f>VLOOKUP(F6,'Feed parameters'!$A$2:$M$113,7, FALSE)</f>
        <v>0.65213596800000007</v>
      </c>
      <c r="G100" s="262">
        <f>VLOOKUP(G6,'Feed parameters'!A2:G114,7, FALSE)</f>
        <v>0.53459999999999996</v>
      </c>
      <c r="H100" s="262">
        <f>VLOOKUP(H6,'Feed parameters'!$A$2:$M$113,7, FALSE)</f>
        <v>0.5411999999999999</v>
      </c>
      <c r="I100" s="262">
        <f>VLOOKUP(I6,'Feed parameters'!$A$2:$M$113,7, FALSE)</f>
        <v>0.45539999999999997</v>
      </c>
      <c r="J100" s="262">
        <f>VLOOKUP(J6,'Feed parameters'!$A$2:$M$113,7, FALSE)</f>
        <v>0.33</v>
      </c>
      <c r="K100" s="262">
        <f>VLOOKUP(K6,'Feed parameters'!$A$2:$M$113,7, FALSE)</f>
        <v>0</v>
      </c>
      <c r="L100" s="330">
        <f>IFERROR(SUMPRODUCT(E98:K98,E100:K100)/ SUM(E98:K98),0)</f>
        <v>0</v>
      </c>
      <c r="M100" s="471" t="s">
        <v>816</v>
      </c>
      <c r="N100" s="262">
        <f t="shared" ref="N100" si="210">N93</f>
        <v>0.79859999999999998</v>
      </c>
      <c r="O100" s="262">
        <f t="shared" ref="O100:T100" si="211">O93</f>
        <v>0.65213596800000007</v>
      </c>
      <c r="P100" s="262">
        <f t="shared" si="211"/>
        <v>0.53459999999999996</v>
      </c>
      <c r="Q100" s="262">
        <f t="shared" si="211"/>
        <v>0.5411999999999999</v>
      </c>
      <c r="R100" s="262">
        <f t="shared" si="211"/>
        <v>0.45539999999999997</v>
      </c>
      <c r="S100" s="262">
        <f t="shared" si="211"/>
        <v>0.33</v>
      </c>
      <c r="T100" s="262">
        <f t="shared" si="211"/>
        <v>0</v>
      </c>
      <c r="U100" s="337">
        <f>IFERROR(SUMPRODUCT(N98:T98,N100:T100)/ SUM(N98:T98),0)</f>
        <v>0</v>
      </c>
      <c r="V100" s="471" t="s">
        <v>816</v>
      </c>
      <c r="W100" s="262">
        <f t="shared" ref="W100:AC102" si="212">W93</f>
        <v>0.79859999999999998</v>
      </c>
      <c r="X100" s="262">
        <f t="shared" si="212"/>
        <v>0.65213596800000007</v>
      </c>
      <c r="Y100" s="262">
        <f t="shared" si="212"/>
        <v>0.53459999999999996</v>
      </c>
      <c r="Z100" s="262">
        <f t="shared" si="212"/>
        <v>0.5411999999999999</v>
      </c>
      <c r="AA100" s="262">
        <f t="shared" si="212"/>
        <v>0.45539999999999997</v>
      </c>
      <c r="AB100" s="262">
        <f t="shared" si="212"/>
        <v>0.33</v>
      </c>
      <c r="AC100" s="262">
        <f t="shared" si="212"/>
        <v>0</v>
      </c>
      <c r="AD100" s="337">
        <f>IFERROR(SUMPRODUCT(W98:AC98,W100:AC100)/ SUM(W98:AC98),0)</f>
        <v>0</v>
      </c>
      <c r="AE100" s="495">
        <f>L100*$G$3+U100*$P$3</f>
        <v>0</v>
      </c>
    </row>
    <row r="101" spans="1:32" s="144" customFormat="1">
      <c r="B101" s="426"/>
      <c r="C101" s="445"/>
      <c r="D101" s="427" t="s">
        <v>906</v>
      </c>
      <c r="E101" s="329">
        <f>VLOOKUP(E6,'Feed parameters'!$A$2:$M$113,4, FALSE)</f>
        <v>10.89</v>
      </c>
      <c r="F101" s="262">
        <f>VLOOKUP(F6,'Feed parameters'!$A$2:$M$113,4, FALSE)</f>
        <v>1.4821272000000001</v>
      </c>
      <c r="G101" s="262">
        <f>VLOOKUP(G6,'Feed parameters'!A2:G114,4, FALSE)</f>
        <v>2.0168999999999997</v>
      </c>
      <c r="H101" s="262">
        <f>VLOOKUP(H6,'Feed parameters'!$A$2:$M$113,4, FALSE)</f>
        <v>1.8039999999999998</v>
      </c>
      <c r="I101" s="262">
        <f>VLOOKUP(I6,'Feed parameters'!$A$2:$M$113,4, FALSE)</f>
        <v>6.0030000000000001</v>
      </c>
      <c r="J101" s="262">
        <f>VLOOKUP(J6,'Feed parameters'!$A$2:$M$113,4, FALSE)</f>
        <v>3</v>
      </c>
      <c r="K101" s="262">
        <f>VLOOKUP(K6,'Feed parameters'!$A$2:$M$113,4, FALSE)</f>
        <v>0</v>
      </c>
      <c r="L101" s="330">
        <f>IFERROR(SUMPRODUCT(E98:K98,E101:K101)/ SUM(E98:K98),0)</f>
        <v>0</v>
      </c>
      <c r="M101" s="471" t="s">
        <v>906</v>
      </c>
      <c r="N101" s="262">
        <f t="shared" ref="N101" si="213">N94</f>
        <v>10.89</v>
      </c>
      <c r="O101" s="262">
        <f t="shared" ref="O101:T101" si="214">O94</f>
        <v>1.4821272000000001</v>
      </c>
      <c r="P101" s="262">
        <f t="shared" si="214"/>
        <v>2.0168999999999997</v>
      </c>
      <c r="Q101" s="262">
        <f t="shared" si="214"/>
        <v>1.8039999999999998</v>
      </c>
      <c r="R101" s="262">
        <f t="shared" si="214"/>
        <v>6.0030000000000001</v>
      </c>
      <c r="S101" s="262">
        <f t="shared" si="214"/>
        <v>3</v>
      </c>
      <c r="T101" s="262">
        <f t="shared" si="214"/>
        <v>0</v>
      </c>
      <c r="U101" s="337">
        <f>IFERROR(SUMPRODUCT(N98:T98,N101:T101)/ SUM(N98:T98),0)</f>
        <v>0</v>
      </c>
      <c r="V101" s="471" t="s">
        <v>906</v>
      </c>
      <c r="W101" s="262">
        <f t="shared" si="212"/>
        <v>10.89</v>
      </c>
      <c r="X101" s="262">
        <f t="shared" si="212"/>
        <v>1.4821272000000001</v>
      </c>
      <c r="Y101" s="262">
        <f t="shared" si="212"/>
        <v>2.0168999999999997</v>
      </c>
      <c r="Z101" s="262">
        <f t="shared" si="212"/>
        <v>1.8039999999999998</v>
      </c>
      <c r="AA101" s="262">
        <f t="shared" si="212"/>
        <v>6.0030000000000001</v>
      </c>
      <c r="AB101" s="262">
        <f t="shared" si="212"/>
        <v>3</v>
      </c>
      <c r="AC101" s="262">
        <f t="shared" si="212"/>
        <v>0</v>
      </c>
      <c r="AD101" s="337">
        <f>IFERROR(SUMPRODUCT(W98:AC98,W101:AC101)/ SUM(W98:AC98),0)</f>
        <v>0</v>
      </c>
      <c r="AE101" s="495"/>
    </row>
    <row r="102" spans="1:32" s="144" customFormat="1">
      <c r="B102" s="426"/>
      <c r="C102" s="445"/>
      <c r="D102" s="427" t="s">
        <v>1153</v>
      </c>
      <c r="E102" s="329">
        <f>VLOOKUP(E6,'Feed parameters'!$A$2:$M$113,2, FALSE)</f>
        <v>90</v>
      </c>
      <c r="F102" s="262">
        <f>VLOOKUP(F6,'Feed parameters'!$A$2:$M$113,2, FALSE)</f>
        <v>15</v>
      </c>
      <c r="G102" s="262">
        <f>VLOOKUP(G6,'Feed parameters'!A2:G114,2, FALSE)</f>
        <v>24.9</v>
      </c>
      <c r="H102" s="262">
        <f>VLOOKUP(H6,'Feed parameters'!$A$2:$M$113,2, FALSE)</f>
        <v>22</v>
      </c>
      <c r="I102" s="262">
        <f>VLOOKUP(I6,'Feed parameters'!$A$2:$M$113,2, FALSE)</f>
        <v>87</v>
      </c>
      <c r="J102" s="262">
        <f>VLOOKUP(J6,'Feed parameters'!$A$2:$M$113,2, FALSE)</f>
        <v>60</v>
      </c>
      <c r="K102" s="262">
        <f>VLOOKUP(K6,'Feed parameters'!$A$2:$M$113,2, FALSE)</f>
        <v>0</v>
      </c>
      <c r="L102" s="330">
        <f>IFERROR(SUMPRODUCT(E98:K98,E102:K102)/ SUM(E98:K98),0)</f>
        <v>0</v>
      </c>
      <c r="M102" s="471" t="s">
        <v>1153</v>
      </c>
      <c r="N102" s="262">
        <f t="shared" ref="N102" si="215">N95</f>
        <v>90</v>
      </c>
      <c r="O102" s="262">
        <f t="shared" ref="O102:T102" si="216">O95</f>
        <v>15</v>
      </c>
      <c r="P102" s="262">
        <f t="shared" si="216"/>
        <v>24.9</v>
      </c>
      <c r="Q102" s="262">
        <f t="shared" si="216"/>
        <v>22</v>
      </c>
      <c r="R102" s="262">
        <f t="shared" si="216"/>
        <v>87</v>
      </c>
      <c r="S102" s="262">
        <f t="shared" si="216"/>
        <v>60</v>
      </c>
      <c r="T102" s="262">
        <f t="shared" si="216"/>
        <v>0</v>
      </c>
      <c r="U102" s="337">
        <f>IFERROR(SUMPRODUCT(N98:T98,N102:T102)/ SUM(N98:T98),0)</f>
        <v>0</v>
      </c>
      <c r="V102" s="471" t="s">
        <v>1153</v>
      </c>
      <c r="W102" s="262">
        <f t="shared" si="212"/>
        <v>90</v>
      </c>
      <c r="X102" s="262">
        <f t="shared" si="212"/>
        <v>15</v>
      </c>
      <c r="Y102" s="262">
        <f t="shared" si="212"/>
        <v>24.9</v>
      </c>
      <c r="Z102" s="262">
        <f t="shared" si="212"/>
        <v>22</v>
      </c>
      <c r="AA102" s="262">
        <f t="shared" si="212"/>
        <v>87</v>
      </c>
      <c r="AB102" s="262">
        <f t="shared" si="212"/>
        <v>60</v>
      </c>
      <c r="AC102" s="262">
        <f t="shared" si="212"/>
        <v>0</v>
      </c>
      <c r="AD102" s="337">
        <f>IFERROR(SUMPRODUCT(W98:AC98,W102:AC102)/ SUM(W98:AC98),0)</f>
        <v>0</v>
      </c>
      <c r="AE102" s="495">
        <f>L102*$G$3+U102*$P$3</f>
        <v>0</v>
      </c>
    </row>
    <row r="103" spans="1:32" s="144" customFormat="1">
      <c r="B103" s="426"/>
      <c r="C103" s="445"/>
      <c r="D103" s="427" t="s">
        <v>1171</v>
      </c>
      <c r="E103" s="329">
        <f>IFERROR((E98*E102)/SUMPRODUCT($E98:$K98,$E102:$K102), 0)</f>
        <v>0</v>
      </c>
      <c r="F103" s="262">
        <f>IFERROR((F98*F102)/SUMPRODUCT($E98:$K98,$E102:$K102), 0)</f>
        <v>0</v>
      </c>
      <c r="G103" s="262">
        <f t="shared" ref="G103:K103" si="217">IFERROR((G98*G102)/SUMPRODUCT($E98:$K98,$E102:$K102), 0)</f>
        <v>0</v>
      </c>
      <c r="H103" s="262">
        <f t="shared" si="217"/>
        <v>0</v>
      </c>
      <c r="I103" s="262">
        <f t="shared" si="217"/>
        <v>0</v>
      </c>
      <c r="J103" s="262">
        <f t="shared" si="217"/>
        <v>0</v>
      </c>
      <c r="K103" s="262">
        <f t="shared" si="217"/>
        <v>0</v>
      </c>
      <c r="L103" s="330"/>
      <c r="M103" s="471" t="s">
        <v>1171</v>
      </c>
      <c r="N103" s="262">
        <f t="shared" ref="N103:T103" si="218">IFERROR((N98*N102)/SUMPRODUCT($N98:$T98,$N102:$T102),0)</f>
        <v>0</v>
      </c>
      <c r="O103" s="262">
        <f t="shared" si="218"/>
        <v>0</v>
      </c>
      <c r="P103" s="262">
        <f t="shared" si="218"/>
        <v>0</v>
      </c>
      <c r="Q103" s="262">
        <f t="shared" si="218"/>
        <v>0</v>
      </c>
      <c r="R103" s="262">
        <f t="shared" si="218"/>
        <v>0</v>
      </c>
      <c r="S103" s="262">
        <f t="shared" si="218"/>
        <v>0</v>
      </c>
      <c r="T103" s="262">
        <f t="shared" si="218"/>
        <v>0</v>
      </c>
      <c r="U103" s="337"/>
      <c r="V103" s="471" t="s">
        <v>1171</v>
      </c>
      <c r="W103" s="262">
        <f>IFERROR((W98*W102)/SUMPRODUCT($W98:$AC98,$W102:$AC102), 0)</f>
        <v>0</v>
      </c>
      <c r="X103" s="262">
        <f t="shared" ref="X103" si="219">IFERROR((X98*X102)/SUMPRODUCT($W98:$AC98,$W102:$AC102), 0)</f>
        <v>0</v>
      </c>
      <c r="Y103" s="262">
        <f t="shared" ref="Y103" si="220">IFERROR((Y98*Y102)/SUMPRODUCT($W98:$AC98,$W102:$AC102), 0)</f>
        <v>0</v>
      </c>
      <c r="Z103" s="262">
        <f t="shared" ref="Z103" si="221">IFERROR((Z98*Z102)/SUMPRODUCT($W98:$AC98,$W102:$AC102), 0)</f>
        <v>0</v>
      </c>
      <c r="AA103" s="262">
        <f t="shared" ref="AA103" si="222">IFERROR((AA98*AA102)/SUMPRODUCT($W98:$AC98,$W102:$AC102), 0)</f>
        <v>0</v>
      </c>
      <c r="AB103" s="262">
        <f t="shared" ref="AB103" si="223">IFERROR((AB98*AB102)/SUMPRODUCT($W98:$AC98,$W102:$AC102), 0)</f>
        <v>0</v>
      </c>
      <c r="AC103" s="262">
        <f t="shared" ref="AC103" si="224">IFERROR((AC98*AC102)/SUMPRODUCT($W98:$AC98,$W102:$AC102), 0)</f>
        <v>0</v>
      </c>
      <c r="AD103" s="337"/>
      <c r="AE103" s="495"/>
    </row>
    <row r="104" spans="1:32" s="144" customFormat="1" ht="16.5" thickBot="1">
      <c r="B104" s="464"/>
      <c r="C104" s="465"/>
      <c r="D104" s="466"/>
      <c r="E104" s="467"/>
      <c r="F104" s="468"/>
      <c r="G104" s="468"/>
      <c r="H104" s="468"/>
      <c r="I104" s="468"/>
      <c r="J104" s="468"/>
      <c r="K104" s="468"/>
      <c r="L104" s="469"/>
      <c r="M104" s="472"/>
      <c r="N104" s="468"/>
      <c r="O104" s="468"/>
      <c r="P104" s="468"/>
      <c r="Q104" s="468"/>
      <c r="R104" s="468"/>
      <c r="S104" s="468"/>
      <c r="T104" s="468"/>
      <c r="U104" s="470"/>
      <c r="V104" s="472"/>
      <c r="W104" s="468"/>
      <c r="X104" s="468"/>
      <c r="Y104" s="468"/>
      <c r="Z104" s="468"/>
      <c r="AA104" s="468"/>
      <c r="AB104" s="468"/>
      <c r="AC104" s="468"/>
      <c r="AD104" s="470"/>
      <c r="AE104" s="495"/>
    </row>
    <row r="105" spans="1:32" s="144" customFormat="1">
      <c r="B105" s="260"/>
      <c r="C105" s="260"/>
      <c r="D105" s="710"/>
      <c r="O105" s="226"/>
      <c r="S105" s="227"/>
      <c r="V105" s="489"/>
      <c r="AB105" s="225"/>
    </row>
    <row r="106" spans="1:32" s="144" customFormat="1">
      <c r="A106" s="322" t="s">
        <v>1478</v>
      </c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Q106" s="226"/>
      <c r="U106" s="227"/>
      <c r="X106" s="489"/>
      <c r="AD106" s="225"/>
    </row>
    <row r="107" spans="1:32" s="144" customFormat="1" ht="61.5" customHeight="1">
      <c r="A107" s="13"/>
      <c r="B107" s="711" t="s">
        <v>1479</v>
      </c>
      <c r="C107" s="877" t="s">
        <v>1637</v>
      </c>
      <c r="D107" s="711" t="s">
        <v>1449</v>
      </c>
      <c r="E107" s="711" t="s">
        <v>1810</v>
      </c>
      <c r="F107" s="711" t="s">
        <v>1786</v>
      </c>
      <c r="G107" s="711" t="s">
        <v>1450</v>
      </c>
      <c r="H107" s="711" t="s">
        <v>1675</v>
      </c>
      <c r="I107" s="711" t="s">
        <v>1451</v>
      </c>
      <c r="J107" s="711" t="s">
        <v>1808</v>
      </c>
      <c r="K107" s="711" t="s">
        <v>1811</v>
      </c>
      <c r="L107" s="711" t="s">
        <v>1809</v>
      </c>
      <c r="M107" s="711" t="s">
        <v>1676</v>
      </c>
      <c r="Q107" s="226"/>
      <c r="U107" s="227"/>
      <c r="X107" s="489"/>
      <c r="AD107" s="225"/>
    </row>
    <row r="108" spans="1:32" s="144" customFormat="1">
      <c r="A108" s="13" t="str">
        <f t="shared" ref="A108:A117" si="225">A126</f>
        <v>Cows (improved)</v>
      </c>
      <c r="B108" s="419">
        <f>'Livestock parameters'!H2</f>
        <v>43.118509116603107</v>
      </c>
      <c r="C108" s="878">
        <f>'Livestock parameters'!G2*'Livestock parameters'!I2</f>
        <v>0</v>
      </c>
      <c r="D108" s="712">
        <f>IFERROR('Livestock parameters'!J2/(365*'Livestock parameters'!V2),0)</f>
        <v>3.5225048923679059</v>
      </c>
      <c r="E108" s="712">
        <f>IFERROR('Livestock parameters'!K2/(365*'Livestock parameters'!V2),0)</f>
        <v>0</v>
      </c>
      <c r="F108" s="712">
        <f>'Livestock parameters'!L2</f>
        <v>5.5</v>
      </c>
      <c r="G108" s="712">
        <f>'Livestock parameters'!M2</f>
        <v>0</v>
      </c>
      <c r="H108" s="714">
        <f>'Livestock parameters'!N2</f>
        <v>0.38100000000000001</v>
      </c>
      <c r="I108" s="419">
        <f>'Livestock parameters'!G2*'Livestock parameters'!O2</f>
        <v>0</v>
      </c>
      <c r="J108" s="715">
        <f>IFERROR('Livestock parameters'!P2/(365*'Livestock parameters'!V2),0)</f>
        <v>2.8673189823874755E-2</v>
      </c>
      <c r="K108" s="715">
        <f>IFERROR('Livestock parameters'!Q2/(365*'Livestock parameters'!V2),0)</f>
        <v>0</v>
      </c>
      <c r="L108" s="713">
        <f>'Livestock parameters'!R2</f>
        <v>0.09</v>
      </c>
      <c r="M108" s="713">
        <f>'Livestock parameters'!S2</f>
        <v>0</v>
      </c>
      <c r="Q108" s="226"/>
      <c r="U108" s="227"/>
      <c r="X108" s="489"/>
      <c r="AD108" s="225"/>
    </row>
    <row r="109" spans="1:32" s="144" customFormat="1">
      <c r="A109" s="13" t="str">
        <f t="shared" si="225"/>
        <v>Steers/heifers</v>
      </c>
      <c r="B109" s="419">
        <f>'Livestock parameters'!H3</f>
        <v>35.137309395138168</v>
      </c>
      <c r="C109" s="878">
        <f>'Livestock parameters'!G3*'Livestock parameters'!I3</f>
        <v>0</v>
      </c>
      <c r="D109" s="712">
        <f>IFERROR('Livestock parameters'!J3/(365*'Livestock parameters'!V3),0)</f>
        <v>0</v>
      </c>
      <c r="E109" s="712">
        <f>IFERROR('Livestock parameters'!K3/(365*'Livestock parameters'!V3),0)</f>
        <v>0</v>
      </c>
      <c r="F109" s="712">
        <f>'Livestock parameters'!L3</f>
        <v>0</v>
      </c>
      <c r="G109" s="712">
        <f>'Livestock parameters'!M3</f>
        <v>50</v>
      </c>
      <c r="H109" s="714">
        <f>'Livestock parameters'!N3</f>
        <v>0.28999999999999998</v>
      </c>
      <c r="I109" s="419">
        <f>'Livestock parameters'!G3*'Livestock parameters'!O3</f>
        <v>0</v>
      </c>
      <c r="J109" s="715">
        <f>IFERROR('Livestock parameters'!P3/(365*'Livestock parameters'!V3),0)</f>
        <v>0</v>
      </c>
      <c r="K109" s="715">
        <f>IFERROR('Livestock parameters'!Q3/(365*'Livestock parameters'!V3),0)</f>
        <v>0</v>
      </c>
      <c r="L109" s="713">
        <f>'Livestock parameters'!R3</f>
        <v>0</v>
      </c>
      <c r="M109" s="713">
        <f>'Livestock parameters'!S3</f>
        <v>0.4</v>
      </c>
      <c r="Q109" s="226"/>
      <c r="U109" s="227"/>
      <c r="X109" s="489"/>
      <c r="AD109" s="225"/>
    </row>
    <row r="110" spans="1:32" s="144" customFormat="1">
      <c r="A110" s="13">
        <f t="shared" si="225"/>
        <v>0</v>
      </c>
      <c r="B110" s="419">
        <f>'Livestock parameters'!H4</f>
        <v>0</v>
      </c>
      <c r="C110" s="878">
        <f>'Livestock parameters'!G4*'Livestock parameters'!I4</f>
        <v>0</v>
      </c>
      <c r="D110" s="712">
        <f>IFERROR('Livestock parameters'!J4/(365*'Livestock parameters'!V4),0)</f>
        <v>0</v>
      </c>
      <c r="E110" s="712">
        <f>IFERROR('Livestock parameters'!K4/(365*'Livestock parameters'!V4),0)</f>
        <v>0</v>
      </c>
      <c r="F110" s="712">
        <f>'Livestock parameters'!L4</f>
        <v>0</v>
      </c>
      <c r="G110" s="712">
        <f>'Livestock parameters'!M4</f>
        <v>0</v>
      </c>
      <c r="H110" s="714">
        <f>'Livestock parameters'!N4</f>
        <v>0</v>
      </c>
      <c r="I110" s="419">
        <f>'Livestock parameters'!G4*'Livestock parameters'!O4</f>
        <v>0</v>
      </c>
      <c r="J110" s="715">
        <f>IFERROR('Livestock parameters'!P4/(365*'Livestock parameters'!V4),0)</f>
        <v>0</v>
      </c>
      <c r="K110" s="715">
        <f>IFERROR('Livestock parameters'!Q4/(365*'Livestock parameters'!V4),0)</f>
        <v>0</v>
      </c>
      <c r="L110" s="713">
        <f>'Livestock parameters'!R4</f>
        <v>0</v>
      </c>
      <c r="M110" s="713">
        <f>'Livestock parameters'!S4</f>
        <v>0</v>
      </c>
      <c r="Q110" s="226"/>
      <c r="U110" s="227"/>
      <c r="X110" s="489"/>
      <c r="AD110" s="225"/>
    </row>
    <row r="111" spans="1:32" s="144" customFormat="1">
      <c r="A111" s="13">
        <f t="shared" si="225"/>
        <v>0</v>
      </c>
      <c r="B111" s="419">
        <f>'Livestock parameters'!H5</f>
        <v>0</v>
      </c>
      <c r="C111" s="878">
        <f>'Livestock parameters'!G5*'Livestock parameters'!I5</f>
        <v>0</v>
      </c>
      <c r="D111" s="712">
        <f>IFERROR('Livestock parameters'!J5/(365*'Livestock parameters'!V5),0)</f>
        <v>0</v>
      </c>
      <c r="E111" s="712">
        <f>IFERROR('Livestock parameters'!K5/(365*'Livestock parameters'!V5),0)</f>
        <v>0</v>
      </c>
      <c r="F111" s="712">
        <f>'Livestock parameters'!L5</f>
        <v>0</v>
      </c>
      <c r="G111" s="712">
        <f>'Livestock parameters'!M5</f>
        <v>0</v>
      </c>
      <c r="H111" s="714">
        <f>'Livestock parameters'!N5</f>
        <v>0</v>
      </c>
      <c r="I111" s="419">
        <f>'Livestock parameters'!G5*'Livestock parameters'!O5</f>
        <v>0</v>
      </c>
      <c r="J111" s="715">
        <f>IFERROR('Livestock parameters'!P5/(365*'Livestock parameters'!V5),0)</f>
        <v>0</v>
      </c>
      <c r="K111" s="715">
        <f>IFERROR('Livestock parameters'!Q5/(365*'Livestock parameters'!V5),0)</f>
        <v>0</v>
      </c>
      <c r="L111" s="713">
        <f>'Livestock parameters'!R5</f>
        <v>0</v>
      </c>
      <c r="M111" s="713">
        <f>'Livestock parameters'!S5</f>
        <v>0</v>
      </c>
      <c r="Q111" s="226"/>
      <c r="U111" s="227"/>
      <c r="X111" s="489"/>
      <c r="AD111" s="225"/>
    </row>
    <row r="112" spans="1:32" s="144" customFormat="1">
      <c r="A112" s="13">
        <f t="shared" si="225"/>
        <v>0</v>
      </c>
      <c r="B112" s="419">
        <f>'Livestock parameters'!H6</f>
        <v>0</v>
      </c>
      <c r="C112" s="878">
        <f>'Livestock parameters'!G6*'Livestock parameters'!I6</f>
        <v>0</v>
      </c>
      <c r="D112" s="712">
        <f>IFERROR('Livestock parameters'!J6/(365*'Livestock parameters'!V6),0)</f>
        <v>0</v>
      </c>
      <c r="E112" s="712">
        <f>IFERROR('Livestock parameters'!K6/(365*'Livestock parameters'!V6),0)</f>
        <v>0</v>
      </c>
      <c r="F112" s="712">
        <f>'Livestock parameters'!L6</f>
        <v>0</v>
      </c>
      <c r="G112" s="712">
        <f>'Livestock parameters'!M6</f>
        <v>0</v>
      </c>
      <c r="H112" s="714">
        <f>'Livestock parameters'!N6</f>
        <v>0</v>
      </c>
      <c r="I112" s="419">
        <f>'Livestock parameters'!G6*'Livestock parameters'!O6</f>
        <v>0</v>
      </c>
      <c r="J112" s="715">
        <f>IFERROR('Livestock parameters'!P6/(365*'Livestock parameters'!V6),0)</f>
        <v>0</v>
      </c>
      <c r="K112" s="715">
        <f>IFERROR('Livestock parameters'!Q6/(365*'Livestock parameters'!V6),0)</f>
        <v>0</v>
      </c>
      <c r="L112" s="713">
        <f>'Livestock parameters'!R6</f>
        <v>0</v>
      </c>
      <c r="M112" s="713">
        <f>'Livestock parameters'!S6</f>
        <v>0</v>
      </c>
      <c r="Q112" s="226"/>
      <c r="U112" s="227"/>
      <c r="X112" s="489"/>
      <c r="AD112" s="225"/>
    </row>
    <row r="113" spans="1:37" s="144" customFormat="1">
      <c r="A113" s="13">
        <f t="shared" si="225"/>
        <v>0</v>
      </c>
      <c r="B113" s="419">
        <f>'Livestock parameters'!H7</f>
        <v>0</v>
      </c>
      <c r="C113" s="878">
        <f>'Livestock parameters'!G7*'Livestock parameters'!I7</f>
        <v>0</v>
      </c>
      <c r="D113" s="712">
        <f>IFERROR('Livestock parameters'!J7/(365*'Livestock parameters'!V7),0)</f>
        <v>0</v>
      </c>
      <c r="E113" s="712">
        <f>IFERROR('Livestock parameters'!K7/(365*'Livestock parameters'!V7),0)</f>
        <v>0</v>
      </c>
      <c r="F113" s="712">
        <f>'Livestock parameters'!L7</f>
        <v>0</v>
      </c>
      <c r="G113" s="712">
        <f>'Livestock parameters'!M7</f>
        <v>0</v>
      </c>
      <c r="H113" s="714">
        <f>'Livestock parameters'!N7</f>
        <v>0</v>
      </c>
      <c r="I113" s="419">
        <f>'Livestock parameters'!G7*'Livestock parameters'!O7</f>
        <v>0</v>
      </c>
      <c r="J113" s="715">
        <f>IFERROR('Livestock parameters'!P7/(365*'Livestock parameters'!V7),0)</f>
        <v>0</v>
      </c>
      <c r="K113" s="715">
        <f>IFERROR('Livestock parameters'!Q7/(365*'Livestock parameters'!V7),0)</f>
        <v>0</v>
      </c>
      <c r="L113" s="713">
        <f>'Livestock parameters'!R7</f>
        <v>0</v>
      </c>
      <c r="M113" s="713">
        <f>'Livestock parameters'!S7</f>
        <v>0</v>
      </c>
      <c r="Q113" s="226"/>
      <c r="U113" s="227"/>
      <c r="X113" s="489"/>
      <c r="AD113" s="225"/>
    </row>
    <row r="114" spans="1:37" s="144" customFormat="1">
      <c r="A114" s="13">
        <f t="shared" si="225"/>
        <v>0</v>
      </c>
      <c r="B114" s="419">
        <f>'Livestock parameters'!H8</f>
        <v>0</v>
      </c>
      <c r="C114" s="878">
        <f>'Livestock parameters'!G8*'Livestock parameters'!I8</f>
        <v>0</v>
      </c>
      <c r="D114" s="712">
        <f>IFERROR('Livestock parameters'!J8/(365*'Livestock parameters'!V8),0)</f>
        <v>0</v>
      </c>
      <c r="E114" s="712">
        <f>IFERROR('Livestock parameters'!K8/(365*'Livestock parameters'!V8),0)</f>
        <v>0</v>
      </c>
      <c r="F114" s="712">
        <f>'Livestock parameters'!L8</f>
        <v>0</v>
      </c>
      <c r="G114" s="712">
        <f>'Livestock parameters'!M8</f>
        <v>0</v>
      </c>
      <c r="H114" s="714">
        <f>'Livestock parameters'!N8</f>
        <v>0</v>
      </c>
      <c r="I114" s="419">
        <f>'Livestock parameters'!G8*'Livestock parameters'!O8</f>
        <v>0</v>
      </c>
      <c r="J114" s="715">
        <f>IFERROR('Livestock parameters'!P8/(365*'Livestock parameters'!V8),0)</f>
        <v>0</v>
      </c>
      <c r="K114" s="715">
        <f>IFERROR('Livestock parameters'!Q8/(365*'Livestock parameters'!V8),0)</f>
        <v>0</v>
      </c>
      <c r="L114" s="713">
        <f>'Livestock parameters'!R8</f>
        <v>0</v>
      </c>
      <c r="M114" s="713">
        <f>'Livestock parameters'!S8</f>
        <v>0</v>
      </c>
      <c r="Q114" s="226"/>
      <c r="U114" s="227"/>
      <c r="X114" s="489"/>
      <c r="AD114" s="225"/>
    </row>
    <row r="115" spans="1:37" s="144" customFormat="1">
      <c r="A115" s="13">
        <f t="shared" si="225"/>
        <v>0</v>
      </c>
      <c r="B115" s="419">
        <f>'Livestock parameters'!H9</f>
        <v>0</v>
      </c>
      <c r="C115" s="878">
        <f>'Livestock parameters'!G9*'Livestock parameters'!I9</f>
        <v>0</v>
      </c>
      <c r="D115" s="712">
        <f>IFERROR('Livestock parameters'!J9/(365*'Livestock parameters'!V9),0)</f>
        <v>0</v>
      </c>
      <c r="E115" s="712">
        <f>IFERROR('Livestock parameters'!K9/(365*'Livestock parameters'!V9),0)</f>
        <v>0</v>
      </c>
      <c r="F115" s="712">
        <f>'Livestock parameters'!L9</f>
        <v>0</v>
      </c>
      <c r="G115" s="712">
        <f>'Livestock parameters'!M9</f>
        <v>0</v>
      </c>
      <c r="H115" s="714">
        <f>'Livestock parameters'!N9</f>
        <v>0</v>
      </c>
      <c r="I115" s="419">
        <f>'Livestock parameters'!G9*'Livestock parameters'!O9</f>
        <v>0</v>
      </c>
      <c r="J115" s="715">
        <f>IFERROR('Livestock parameters'!P9/(365*'Livestock parameters'!V9),0)</f>
        <v>0</v>
      </c>
      <c r="K115" s="715">
        <f>IFERROR('Livestock parameters'!Q9/(365*'Livestock parameters'!V9),0)</f>
        <v>0</v>
      </c>
      <c r="L115" s="713">
        <f>'Livestock parameters'!R9</f>
        <v>0</v>
      </c>
      <c r="M115" s="713">
        <f>'Livestock parameters'!S9</f>
        <v>0</v>
      </c>
      <c r="Q115" s="226"/>
      <c r="U115" s="227"/>
      <c r="X115" s="489"/>
      <c r="AD115" s="225"/>
    </row>
    <row r="116" spans="1:37" s="144" customFormat="1">
      <c r="A116" s="13">
        <f t="shared" si="225"/>
        <v>0</v>
      </c>
      <c r="B116" s="419">
        <f>'Livestock parameters'!H10</f>
        <v>0</v>
      </c>
      <c r="C116" s="878">
        <f>'Livestock parameters'!G10*'Livestock parameters'!I10</f>
        <v>0</v>
      </c>
      <c r="D116" s="712">
        <f>IFERROR('Livestock parameters'!J10/(365*'Livestock parameters'!V10),0)</f>
        <v>0</v>
      </c>
      <c r="E116" s="712">
        <f>IFERROR('Livestock parameters'!K10/(365*'Livestock parameters'!V10),0)</f>
        <v>0</v>
      </c>
      <c r="F116" s="712">
        <f>'Livestock parameters'!L10</f>
        <v>0</v>
      </c>
      <c r="G116" s="712">
        <f>'Livestock parameters'!M10</f>
        <v>0</v>
      </c>
      <c r="H116" s="714">
        <f>'Livestock parameters'!N10</f>
        <v>0</v>
      </c>
      <c r="I116" s="419">
        <f>'Livestock parameters'!G10*'Livestock parameters'!O10</f>
        <v>0</v>
      </c>
      <c r="J116" s="715">
        <f>IFERROR('Livestock parameters'!P10/(365*'Livestock parameters'!V10),0)</f>
        <v>0</v>
      </c>
      <c r="K116" s="715">
        <f>IFERROR('Livestock parameters'!Q10/(365*'Livestock parameters'!V10),0)</f>
        <v>0</v>
      </c>
      <c r="L116" s="713">
        <f>'Livestock parameters'!R10</f>
        <v>0</v>
      </c>
      <c r="M116" s="713">
        <f>'Livestock parameters'!S10</f>
        <v>0</v>
      </c>
      <c r="Q116" s="226"/>
      <c r="U116" s="227"/>
      <c r="X116" s="489"/>
      <c r="AD116" s="225"/>
    </row>
    <row r="117" spans="1:37" s="144" customFormat="1">
      <c r="A117" s="13">
        <f t="shared" si="225"/>
        <v>0</v>
      </c>
      <c r="B117" s="419">
        <f>'Livestock parameters'!H11</f>
        <v>0</v>
      </c>
      <c r="C117" s="878">
        <f>'Livestock parameters'!G11*'Livestock parameters'!I11</f>
        <v>0</v>
      </c>
      <c r="D117" s="712">
        <f>IFERROR('Livestock parameters'!J11/(365*'Livestock parameters'!V11),0)</f>
        <v>0</v>
      </c>
      <c r="E117" s="712">
        <f>IFERROR('Livestock parameters'!K11/(365*'Livestock parameters'!V11),0)</f>
        <v>0</v>
      </c>
      <c r="F117" s="712">
        <f>'Livestock parameters'!L11</f>
        <v>0</v>
      </c>
      <c r="G117" s="712">
        <f>'Livestock parameters'!M11</f>
        <v>0</v>
      </c>
      <c r="H117" s="714">
        <f>'Livestock parameters'!N11</f>
        <v>0</v>
      </c>
      <c r="I117" s="419">
        <f>'Livestock parameters'!G11*'Livestock parameters'!O11</f>
        <v>0</v>
      </c>
      <c r="J117" s="715">
        <f>IFERROR('Livestock parameters'!P11/(365*'Livestock parameters'!V11),0)</f>
        <v>0</v>
      </c>
      <c r="K117" s="715">
        <f>IFERROR('Livestock parameters'!Q11/(365*'Livestock parameters'!V11),0)</f>
        <v>0</v>
      </c>
      <c r="L117" s="713">
        <f>'Livestock parameters'!R11</f>
        <v>0</v>
      </c>
      <c r="M117" s="713">
        <f>'Livestock parameters'!S11</f>
        <v>0</v>
      </c>
      <c r="Q117" s="226"/>
      <c r="U117" s="227"/>
      <c r="X117" s="489"/>
      <c r="AD117" s="225"/>
    </row>
    <row r="118" spans="1:37" s="144" customFormat="1">
      <c r="A118" s="13">
        <f t="shared" ref="A118:A121" si="226">A136</f>
        <v>0</v>
      </c>
      <c r="B118" s="419">
        <f>'Livestock parameters'!H12</f>
        <v>0</v>
      </c>
      <c r="C118" s="878">
        <f>'Livestock parameters'!G12*'Livestock parameters'!I12</f>
        <v>0</v>
      </c>
      <c r="D118" s="712">
        <f>IFERROR('Livestock parameters'!J12/(365*'Livestock parameters'!V12),0)</f>
        <v>0</v>
      </c>
      <c r="E118" s="712">
        <f>IFERROR('Livestock parameters'!K12/(365*'Livestock parameters'!V12),0)</f>
        <v>0</v>
      </c>
      <c r="F118" s="712">
        <f>'Livestock parameters'!L12</f>
        <v>0</v>
      </c>
      <c r="G118" s="712">
        <f>'Livestock parameters'!M12</f>
        <v>0</v>
      </c>
      <c r="H118" s="714">
        <f>'Livestock parameters'!N12</f>
        <v>0</v>
      </c>
      <c r="I118" s="419">
        <f>'Livestock parameters'!G12*'Livestock parameters'!O12</f>
        <v>0</v>
      </c>
      <c r="J118" s="715">
        <f>IFERROR('Livestock parameters'!P12/(365*'Livestock parameters'!V12),0)</f>
        <v>0</v>
      </c>
      <c r="K118" s="715">
        <f>IFERROR('Livestock parameters'!Q12/(365*'Livestock parameters'!V12),0)</f>
        <v>0</v>
      </c>
      <c r="L118" s="713">
        <f>'Livestock parameters'!R12</f>
        <v>0</v>
      </c>
      <c r="M118" s="713">
        <f>'Livestock parameters'!S12</f>
        <v>0</v>
      </c>
      <c r="Q118" s="226"/>
      <c r="U118" s="227"/>
      <c r="X118" s="489"/>
      <c r="AD118" s="225"/>
    </row>
    <row r="119" spans="1:37" s="144" customFormat="1">
      <c r="A119" s="13">
        <f t="shared" si="226"/>
        <v>0</v>
      </c>
      <c r="B119" s="419">
        <f>'Livestock parameters'!H13</f>
        <v>0</v>
      </c>
      <c r="C119" s="878">
        <f>'Livestock parameters'!G13*'Livestock parameters'!I13</f>
        <v>0</v>
      </c>
      <c r="D119" s="712">
        <f>IFERROR('Livestock parameters'!J13/(365*'Livestock parameters'!V13),0)</f>
        <v>0</v>
      </c>
      <c r="E119" s="712">
        <f>IFERROR('Livestock parameters'!K13/(365*'Livestock parameters'!V13),0)</f>
        <v>0</v>
      </c>
      <c r="F119" s="712">
        <f>'Livestock parameters'!L13</f>
        <v>0</v>
      </c>
      <c r="G119" s="712">
        <f>'Livestock parameters'!M13</f>
        <v>0</v>
      </c>
      <c r="H119" s="714">
        <f>'Livestock parameters'!N13</f>
        <v>0</v>
      </c>
      <c r="I119" s="419">
        <f>'Livestock parameters'!G13*'Livestock parameters'!O13</f>
        <v>0</v>
      </c>
      <c r="J119" s="715">
        <f>IFERROR('Livestock parameters'!P13/(365*'Livestock parameters'!V13),0)</f>
        <v>0</v>
      </c>
      <c r="K119" s="715">
        <f>IFERROR('Livestock parameters'!Q13/(365*'Livestock parameters'!V13),0)</f>
        <v>0</v>
      </c>
      <c r="L119" s="713">
        <f>'Livestock parameters'!R13</f>
        <v>0</v>
      </c>
      <c r="M119" s="713">
        <f>'Livestock parameters'!S13</f>
        <v>0</v>
      </c>
      <c r="Q119" s="226"/>
      <c r="U119" s="227"/>
      <c r="X119" s="489"/>
      <c r="AD119" s="225"/>
    </row>
    <row r="120" spans="1:37" s="144" customFormat="1">
      <c r="A120" s="13">
        <f t="shared" si="226"/>
        <v>0</v>
      </c>
      <c r="B120" s="419">
        <f>'Livestock parameters'!H14</f>
        <v>0</v>
      </c>
      <c r="C120" s="878">
        <f>'Livestock parameters'!G14*'Livestock parameters'!I14</f>
        <v>0</v>
      </c>
      <c r="D120" s="712">
        <f>IFERROR('Livestock parameters'!J14/(365*'Livestock parameters'!V14),0)</f>
        <v>0</v>
      </c>
      <c r="E120" s="712">
        <f>IFERROR('Livestock parameters'!K14/(365*'Livestock parameters'!V14),0)</f>
        <v>0</v>
      </c>
      <c r="F120" s="712">
        <f>'Livestock parameters'!L14</f>
        <v>0</v>
      </c>
      <c r="G120" s="712">
        <f>'Livestock parameters'!M14</f>
        <v>0</v>
      </c>
      <c r="H120" s="714">
        <f>'Livestock parameters'!N14</f>
        <v>0</v>
      </c>
      <c r="I120" s="419">
        <f>'Livestock parameters'!G14*'Livestock parameters'!O14</f>
        <v>0</v>
      </c>
      <c r="J120" s="715">
        <f>IFERROR('Livestock parameters'!P14/(365*'Livestock parameters'!V14),0)</f>
        <v>0</v>
      </c>
      <c r="K120" s="715">
        <f>IFERROR('Livestock parameters'!Q14/(365*'Livestock parameters'!V14),0)</f>
        <v>0</v>
      </c>
      <c r="L120" s="713">
        <f>'Livestock parameters'!R14</f>
        <v>0</v>
      </c>
      <c r="M120" s="713">
        <f>'Livestock parameters'!S14</f>
        <v>0</v>
      </c>
      <c r="Q120" s="226"/>
      <c r="U120" s="227"/>
      <c r="X120" s="489"/>
      <c r="AD120" s="225"/>
    </row>
    <row r="121" spans="1:37" s="144" customFormat="1">
      <c r="A121" s="13">
        <f t="shared" si="226"/>
        <v>0</v>
      </c>
      <c r="B121" s="419">
        <f>'Livestock parameters'!H15</f>
        <v>0</v>
      </c>
      <c r="C121" s="878">
        <f>'Livestock parameters'!G15*'Livestock parameters'!I15</f>
        <v>0</v>
      </c>
      <c r="D121" s="712">
        <f>IFERROR('Livestock parameters'!J15/(365*'Livestock parameters'!V15),0)</f>
        <v>0</v>
      </c>
      <c r="E121" s="712">
        <f>IFERROR('Livestock parameters'!K15/(365*'Livestock parameters'!V15),0)</f>
        <v>0</v>
      </c>
      <c r="F121" s="712">
        <f>'Livestock parameters'!L15</f>
        <v>0</v>
      </c>
      <c r="G121" s="712">
        <f>'Livestock parameters'!M15</f>
        <v>0</v>
      </c>
      <c r="H121" s="714">
        <f>'Livestock parameters'!N15</f>
        <v>0</v>
      </c>
      <c r="I121" s="419">
        <f>'Livestock parameters'!G15*'Livestock parameters'!O15</f>
        <v>0</v>
      </c>
      <c r="J121" s="715">
        <f>IFERROR('Livestock parameters'!P15/(365*'Livestock parameters'!V15),0)</f>
        <v>0</v>
      </c>
      <c r="K121" s="715">
        <f>IFERROR('Livestock parameters'!Q15/(365*'Livestock parameters'!V15),0)</f>
        <v>0</v>
      </c>
      <c r="L121" s="713">
        <f>'Livestock parameters'!R15</f>
        <v>0</v>
      </c>
      <c r="M121" s="713">
        <f>'Livestock parameters'!S15</f>
        <v>0</v>
      </c>
      <c r="Q121" s="226"/>
      <c r="U121" s="227"/>
      <c r="X121" s="489"/>
      <c r="AD121" s="225"/>
    </row>
    <row r="122" spans="1:37" s="144" customFormat="1">
      <c r="B122" s="260"/>
      <c r="C122" s="260"/>
      <c r="D122" s="449"/>
      <c r="O122" s="226"/>
      <c r="S122" s="227"/>
      <c r="V122" s="489"/>
      <c r="AB122" s="225"/>
    </row>
    <row r="123" spans="1:37" s="144" customFormat="1">
      <c r="O123" s="226"/>
      <c r="S123" s="227"/>
      <c r="V123" s="489"/>
      <c r="AB123" s="225"/>
    </row>
    <row r="124" spans="1:37" s="144" customFormat="1">
      <c r="A124" s="322" t="s">
        <v>1175</v>
      </c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  <c r="Z124" s="322"/>
      <c r="AA124" s="493"/>
      <c r="AB124" s="322"/>
      <c r="AC124" s="322"/>
      <c r="AD124" s="322"/>
      <c r="AE124" s="322"/>
      <c r="AF124" s="322"/>
      <c r="AG124" s="322"/>
      <c r="AH124" s="322"/>
      <c r="AI124" s="322"/>
      <c r="AJ124" s="322"/>
      <c r="AK124" s="322"/>
    </row>
    <row r="125" spans="1:37" s="144" customFormat="1" ht="78.75">
      <c r="A125" s="13"/>
      <c r="B125" s="416" t="s">
        <v>641</v>
      </c>
      <c r="C125" s="416" t="s">
        <v>1144</v>
      </c>
      <c r="D125" s="417" t="s">
        <v>997</v>
      </c>
      <c r="E125" s="417" t="s">
        <v>998</v>
      </c>
      <c r="F125" s="417" t="s">
        <v>1838</v>
      </c>
      <c r="G125" s="417" t="s">
        <v>1150</v>
      </c>
      <c r="H125" s="418" t="s">
        <v>1151</v>
      </c>
      <c r="I125" s="418" t="s">
        <v>1839</v>
      </c>
      <c r="J125" s="417" t="s">
        <v>1154</v>
      </c>
      <c r="K125" s="417" t="s">
        <v>1155</v>
      </c>
      <c r="L125" s="417" t="s">
        <v>1840</v>
      </c>
      <c r="M125" s="417" t="s">
        <v>1145</v>
      </c>
      <c r="N125" s="417" t="s">
        <v>1146</v>
      </c>
      <c r="O125" s="417" t="s">
        <v>1841</v>
      </c>
      <c r="P125" s="417" t="s">
        <v>1160</v>
      </c>
      <c r="Q125" s="417" t="s">
        <v>1161</v>
      </c>
      <c r="R125" s="417" t="s">
        <v>1842</v>
      </c>
      <c r="S125" s="417" t="s">
        <v>1156</v>
      </c>
      <c r="T125" s="417" t="s">
        <v>1157</v>
      </c>
      <c r="U125" s="417" t="s">
        <v>1843</v>
      </c>
      <c r="AA125" s="489"/>
    </row>
    <row r="126" spans="1:37" s="144" customFormat="1">
      <c r="A126" s="13" t="str">
        <f>INPUTS!C17</f>
        <v>Cows (improved)</v>
      </c>
      <c r="B126" s="876">
        <f>(B108*365+C108*365+D108*365+E108*365+'Livestock parameters'!T2*F108+G108*'Livestock parameters'!U2)*INPUTS!D17</f>
        <v>50822.940226548839</v>
      </c>
      <c r="C126" s="419">
        <f>(H108*365+I108*365+J108*365+K108*365+'Livestock parameters'!T2*L108+M108*'Livestock parameters'!U2)*INPUTS!D17</f>
        <v>573.56142857142856</v>
      </c>
      <c r="D126" s="420">
        <f>B126*Feed!$G$3</f>
        <v>26455.7771042309</v>
      </c>
      <c r="E126" s="420">
        <f>B126*Feed!$P$3</f>
        <v>24367.163122317936</v>
      </c>
      <c r="F126" s="420">
        <f>B126*Feed!$Y$3</f>
        <v>0</v>
      </c>
      <c r="G126" s="420">
        <f>IFERROR(D126/Feed!L10,0)</f>
        <v>9437.261212460744</v>
      </c>
      <c r="H126" s="420">
        <f>IFERROR(E126/Feed!U10,0)</f>
        <v>7136.103979130874</v>
      </c>
      <c r="I126" s="420">
        <f>IFERROR(F126/Feed!AD10,0)</f>
        <v>0</v>
      </c>
      <c r="J126" s="420">
        <f t="shared" ref="J126:J139" si="227">IFERROR(G126*$L$11/100, 0)</f>
        <v>3812.9366476705136</v>
      </c>
      <c r="K126" s="420">
        <f t="shared" ref="K126:K139" si="228">IFERROR(H126*$U$11/100, 0)</f>
        <v>3195.6187228945969</v>
      </c>
      <c r="L126" s="420">
        <f>IFERROR(I126*$AD$11/100, 0)</f>
        <v>0</v>
      </c>
      <c r="M126" s="420">
        <f>IFERROR(C126*Feed!$G$3, 0)</f>
        <v>298.5662230919765</v>
      </c>
      <c r="N126" s="420">
        <f>IFERROR(C126*Feed!$P$3, 0)</f>
        <v>274.99520547945201</v>
      </c>
      <c r="O126" s="420">
        <f>IFERROR(C126*Feed!$Y$3, 0)</f>
        <v>0</v>
      </c>
      <c r="P126" s="420">
        <f>IFERROR(M126/(Feed!L8/100),0)</f>
        <v>8986.5353195434855</v>
      </c>
      <c r="Q126" s="420">
        <f>IFERROR(N126/(Feed!U8/100),0)</f>
        <v>8199.5576180869284</v>
      </c>
      <c r="R126" s="420">
        <f>IFERROR(O126/(Feed!AD8/100),0)</f>
        <v>0</v>
      </c>
      <c r="S126" s="420">
        <f t="shared" ref="S126:S139" si="229">IFERROR(P126*$L$11/100, 0)</f>
        <v>3630.8298651551536</v>
      </c>
      <c r="T126" s="420">
        <f t="shared" ref="T126:T139" si="230">IFERROR(Q126*$U$11/100, 0)</f>
        <v>3671.8438969555073</v>
      </c>
      <c r="U126" s="420">
        <f>IFERROR(R126*$AD$11/100, 0)</f>
        <v>0</v>
      </c>
      <c r="AA126" s="489"/>
    </row>
    <row r="127" spans="1:37" s="144" customFormat="1">
      <c r="A127" s="13" t="str">
        <f>INPUTS!C18</f>
        <v>Steers/heifers</v>
      </c>
      <c r="B127" s="876">
        <f>(B109*365+C109*365+D109*365+E109*365+'Livestock parameters'!T3*F109+G109*'Livestock parameters'!U3)*INPUTS!D18</f>
        <v>61875.353787676293</v>
      </c>
      <c r="C127" s="419">
        <f>(H109*365+I109*365+J109*365+K109*365+'Livestock parameters'!T3*L109+M109*'Livestock parameters'!U3)*INPUTS!D18</f>
        <v>504.75</v>
      </c>
      <c r="D127" s="420">
        <f>B127*Feed!$G$3</f>
        <v>32209.088273036974</v>
      </c>
      <c r="E127" s="420">
        <f>B127*Feed!$P$3</f>
        <v>29666.265514639315</v>
      </c>
      <c r="F127" s="420">
        <f>B127*Feed!$Y$3</f>
        <v>0</v>
      </c>
      <c r="G127" s="420">
        <f>IFERROR(D127/Feed!L17,0)</f>
        <v>11489.572891784184</v>
      </c>
      <c r="H127" s="420">
        <f>IFERROR(E127/Feed!U17,0)</f>
        <v>8687.9853154129687</v>
      </c>
      <c r="I127" s="420">
        <f>IFERROR(F127/Feed!AD17,0)</f>
        <v>0</v>
      </c>
      <c r="J127" s="420">
        <f>IFERROR(G127*$L$18/100, 0)</f>
        <v>4642.1321354675629</v>
      </c>
      <c r="K127" s="420">
        <f>IFERROR(H127*$U$18/100, 0)</f>
        <v>3890.5667040950816</v>
      </c>
      <c r="L127" s="420">
        <f t="shared" ref="L127:L139" si="231">IFERROR(I127*$AD$11/100, 0)</f>
        <v>0</v>
      </c>
      <c r="M127" s="420">
        <f>IFERROR(C127*Feed!$G$3, 0)</f>
        <v>262.74657534246575</v>
      </c>
      <c r="N127" s="420">
        <f>IFERROR(C127*Feed!$P$3, 0)</f>
        <v>242.00342465753423</v>
      </c>
      <c r="O127" s="420">
        <f>IFERROR(C127*Feed!$Y$3, 0)</f>
        <v>0</v>
      </c>
      <c r="P127" s="420">
        <f>IFERROR(M127/(Feed!L15/100),0)</f>
        <v>7908.4008731850927</v>
      </c>
      <c r="Q127" s="420">
        <f>IFERROR(N127/(Feed!U15/100),0)</f>
        <v>7215.8386208739976</v>
      </c>
      <c r="R127" s="420">
        <f>IFERROR(O127/(Feed!AD15/100),0)</f>
        <v>0</v>
      </c>
      <c r="S127" s="420">
        <f t="shared" si="229"/>
        <v>3195.2312047929722</v>
      </c>
      <c r="T127" s="420">
        <f t="shared" si="230"/>
        <v>3231.3246928135845</v>
      </c>
      <c r="U127" s="420">
        <f t="shared" ref="U127:U139" si="232">IFERROR(R127*$AD$11/100, 0)</f>
        <v>0</v>
      </c>
      <c r="AA127" s="489"/>
    </row>
    <row r="128" spans="1:37" s="144" customFormat="1">
      <c r="A128" s="13">
        <f>INPUTS!C19</f>
        <v>0</v>
      </c>
      <c r="B128" s="876">
        <f>(B110*365+C110*365+D110*365+E110*365+'Livestock parameters'!T4*F110+G110*'Livestock parameters'!U4)*INPUTS!D19</f>
        <v>0</v>
      </c>
      <c r="C128" s="419">
        <f>(H110*365+I110*365+J110*365+K110*365+'Livestock parameters'!T4*L110+M110*'Livestock parameters'!U4)*INPUTS!D19</f>
        <v>0</v>
      </c>
      <c r="D128" s="420">
        <f>B128*Feed!$G$3</f>
        <v>0</v>
      </c>
      <c r="E128" s="420">
        <f>B128*Feed!$P$3</f>
        <v>0</v>
      </c>
      <c r="F128" s="420">
        <f>B128*Feed!$Y$3</f>
        <v>0</v>
      </c>
      <c r="G128" s="420">
        <f>IFERROR(D128/Feed!L24,0)</f>
        <v>0</v>
      </c>
      <c r="H128" s="420">
        <f>IFERROR(E128/Feed!U24,0)</f>
        <v>0</v>
      </c>
      <c r="I128" s="420">
        <f>IFERROR(F128/Feed!AD24,0)</f>
        <v>0</v>
      </c>
      <c r="J128" s="420">
        <f t="shared" si="227"/>
        <v>0</v>
      </c>
      <c r="K128" s="420">
        <f t="shared" si="228"/>
        <v>0</v>
      </c>
      <c r="L128" s="420">
        <f t="shared" si="231"/>
        <v>0</v>
      </c>
      <c r="M128" s="420">
        <f>IFERROR(C128*Feed!$G$3, 0)</f>
        <v>0</v>
      </c>
      <c r="N128" s="420">
        <f>IFERROR(C128*Feed!$P$3, 0)</f>
        <v>0</v>
      </c>
      <c r="O128" s="420">
        <f>IFERROR(C128*Feed!$Y$3, 0)</f>
        <v>0</v>
      </c>
      <c r="P128" s="420">
        <f>IFERROR(M128/(Feed!L22/100),0)</f>
        <v>0</v>
      </c>
      <c r="Q128" s="420">
        <f>IFERROR(N128/(Feed!U22/100),0)</f>
        <v>0</v>
      </c>
      <c r="R128" s="420">
        <f>IFERROR(O128/(Feed!AD22/100),0)</f>
        <v>0</v>
      </c>
      <c r="S128" s="420">
        <f t="shared" si="229"/>
        <v>0</v>
      </c>
      <c r="T128" s="420">
        <f t="shared" si="230"/>
        <v>0</v>
      </c>
      <c r="U128" s="420">
        <f t="shared" si="232"/>
        <v>0</v>
      </c>
      <c r="AA128" s="489"/>
    </row>
    <row r="129" spans="1:33" s="144" customFormat="1">
      <c r="A129" s="13">
        <f>INPUTS!C20</f>
        <v>0</v>
      </c>
      <c r="B129" s="876">
        <f>(B111*365+C111*365+D111*365+E111*365+'Livestock parameters'!T5*F111+G111*'Livestock parameters'!U5)*INPUTS!D20</f>
        <v>0</v>
      </c>
      <c r="C129" s="419">
        <f>(H111*365+I111*365+J111*365+K111*365+'Livestock parameters'!T5*L111+M111*'Livestock parameters'!U5)*INPUTS!D20</f>
        <v>0</v>
      </c>
      <c r="D129" s="420">
        <f>B129*Feed!$G$3</f>
        <v>0</v>
      </c>
      <c r="E129" s="420">
        <f>B129*Feed!$P$3</f>
        <v>0</v>
      </c>
      <c r="F129" s="420">
        <f>B129*Feed!$Y$3</f>
        <v>0</v>
      </c>
      <c r="G129" s="420">
        <f>IFERROR(D129/Feed!L31,0)</f>
        <v>0</v>
      </c>
      <c r="H129" s="420">
        <f>IFERROR(E129/Feed!U31,0)</f>
        <v>0</v>
      </c>
      <c r="I129" s="420">
        <f>IFERROR(F129/Feed!AD31,0)</f>
        <v>0</v>
      </c>
      <c r="J129" s="420">
        <f t="shared" si="227"/>
        <v>0</v>
      </c>
      <c r="K129" s="420">
        <f t="shared" si="228"/>
        <v>0</v>
      </c>
      <c r="L129" s="420">
        <f t="shared" si="231"/>
        <v>0</v>
      </c>
      <c r="M129" s="420">
        <f>IFERROR(C129*Feed!$G$3, 0)</f>
        <v>0</v>
      </c>
      <c r="N129" s="420">
        <f>IFERROR(C129*Feed!$P$3, 0)</f>
        <v>0</v>
      </c>
      <c r="O129" s="420">
        <f>IFERROR(C129*Feed!$Y$3, 0)</f>
        <v>0</v>
      </c>
      <c r="P129" s="420">
        <f>IFERROR(M129/(Feed!L29/100),0)</f>
        <v>0</v>
      </c>
      <c r="Q129" s="420">
        <f>IFERROR(N129/(Feed!U29/100),0)</f>
        <v>0</v>
      </c>
      <c r="R129" s="420">
        <f>IFERROR(O129/(Feed!AD29/100),0)</f>
        <v>0</v>
      </c>
      <c r="S129" s="420">
        <f t="shared" si="229"/>
        <v>0</v>
      </c>
      <c r="T129" s="420">
        <f t="shared" si="230"/>
        <v>0</v>
      </c>
      <c r="U129" s="420">
        <f t="shared" si="232"/>
        <v>0</v>
      </c>
      <c r="AA129" s="489"/>
    </row>
    <row r="130" spans="1:33" s="144" customFormat="1">
      <c r="A130" s="13">
        <f>INPUTS!C21</f>
        <v>0</v>
      </c>
      <c r="B130" s="876">
        <f>(B112*365+C112*365+D112*365+E112*365+'Livestock parameters'!T6*F112+G112*'Livestock parameters'!U6)*INPUTS!D21</f>
        <v>0</v>
      </c>
      <c r="C130" s="419">
        <f>(H112*365+I112*365+J112*365+K112*365+'Livestock parameters'!T6*L112+M112*'Livestock parameters'!U6)*INPUTS!D21</f>
        <v>0</v>
      </c>
      <c r="D130" s="420">
        <f>B130*Feed!$G$3</f>
        <v>0</v>
      </c>
      <c r="E130" s="420">
        <f>B130*Feed!$P$3</f>
        <v>0</v>
      </c>
      <c r="F130" s="420">
        <f>B130*Feed!$Y$3</f>
        <v>0</v>
      </c>
      <c r="G130" s="420">
        <f>IFERROR(D130/Feed!L38,0)</f>
        <v>0</v>
      </c>
      <c r="H130" s="420">
        <f>IFERROR(E130/Feed!U38,0)</f>
        <v>0</v>
      </c>
      <c r="I130" s="420">
        <f>IFERROR(F130/Feed!AD38,0)</f>
        <v>0</v>
      </c>
      <c r="J130" s="420">
        <f>IFERROR(G130*$L$18/100, 0)</f>
        <v>0</v>
      </c>
      <c r="K130" s="420">
        <f>IFERROR(H130*$U$18/100, 0)</f>
        <v>0</v>
      </c>
      <c r="L130" s="420">
        <f t="shared" si="231"/>
        <v>0</v>
      </c>
      <c r="M130" s="420">
        <f>IFERROR(C130*Feed!$G$3, 0)</f>
        <v>0</v>
      </c>
      <c r="N130" s="420">
        <f>IFERROR(C130*Feed!$P$3, 0)</f>
        <v>0</v>
      </c>
      <c r="O130" s="420">
        <f>IFERROR(C130*Feed!$Y$3, 0)</f>
        <v>0</v>
      </c>
      <c r="P130" s="420">
        <f>IFERROR(M130/(Feed!L36/100),0)</f>
        <v>0</v>
      </c>
      <c r="Q130" s="420">
        <f>IFERROR(N130/(Feed!U36/100),0)</f>
        <v>0</v>
      </c>
      <c r="R130" s="420">
        <f>IFERROR(O130/(Feed!AD36/100),0)</f>
        <v>0</v>
      </c>
      <c r="S130" s="420">
        <f t="shared" si="229"/>
        <v>0</v>
      </c>
      <c r="T130" s="420">
        <f t="shared" si="230"/>
        <v>0</v>
      </c>
      <c r="U130" s="420">
        <f t="shared" si="232"/>
        <v>0</v>
      </c>
      <c r="AA130" s="489"/>
    </row>
    <row r="131" spans="1:33" s="144" customFormat="1">
      <c r="A131" s="13">
        <f>INPUTS!C22</f>
        <v>0</v>
      </c>
      <c r="B131" s="876">
        <f>(B113*365+C113*365+D113*365+E113*365+'Livestock parameters'!T7*F113+G113*'Livestock parameters'!U7)*INPUTS!D22</f>
        <v>0</v>
      </c>
      <c r="C131" s="419">
        <f>(H113*365+I113*365+J113*365+K113*365+'Livestock parameters'!T7*L113+M113*'Livestock parameters'!U7)*INPUTS!D22</f>
        <v>0</v>
      </c>
      <c r="D131" s="420">
        <f>B131*Feed!$G$3</f>
        <v>0</v>
      </c>
      <c r="E131" s="420">
        <f>B131*Feed!$P$3</f>
        <v>0</v>
      </c>
      <c r="F131" s="420">
        <f>B131*Feed!$Y$3</f>
        <v>0</v>
      </c>
      <c r="G131" s="420">
        <f>IFERROR(D131/Feed!L45,0)</f>
        <v>0</v>
      </c>
      <c r="H131" s="420">
        <f>IFERROR(E131/Feed!U45,0)</f>
        <v>0</v>
      </c>
      <c r="I131" s="420">
        <f>IFERROR(F131/Feed!AD45,0)</f>
        <v>0</v>
      </c>
      <c r="J131" s="420">
        <f t="shared" si="227"/>
        <v>0</v>
      </c>
      <c r="K131" s="420">
        <f t="shared" si="228"/>
        <v>0</v>
      </c>
      <c r="L131" s="420">
        <f t="shared" si="231"/>
        <v>0</v>
      </c>
      <c r="M131" s="420">
        <f>IFERROR(C131*Feed!$G$3, 0)</f>
        <v>0</v>
      </c>
      <c r="N131" s="420">
        <f>IFERROR(C131*Feed!$P$3, 0)</f>
        <v>0</v>
      </c>
      <c r="O131" s="420">
        <f>IFERROR(C131*Feed!$Y$3, 0)</f>
        <v>0</v>
      </c>
      <c r="P131" s="420">
        <f>IFERROR(M131/(Feed!L43/100),0)</f>
        <v>0</v>
      </c>
      <c r="Q131" s="420">
        <f>IFERROR(N131/(Feed!U43/100),0)</f>
        <v>0</v>
      </c>
      <c r="R131" s="420">
        <f>IFERROR(O131/(Feed!AD43/100),0)</f>
        <v>0</v>
      </c>
      <c r="S131" s="420">
        <f t="shared" si="229"/>
        <v>0</v>
      </c>
      <c r="T131" s="420">
        <f t="shared" si="230"/>
        <v>0</v>
      </c>
      <c r="U131" s="420">
        <f t="shared" si="232"/>
        <v>0</v>
      </c>
      <c r="AA131" s="489"/>
    </row>
    <row r="132" spans="1:33" s="144" customFormat="1">
      <c r="A132" s="13">
        <f>INPUTS!C23</f>
        <v>0</v>
      </c>
      <c r="B132" s="876">
        <f>(B114*365+C114*365+D114*365+E114*365+'Livestock parameters'!T8*F114+G114*'Livestock parameters'!U8)*INPUTS!D23</f>
        <v>0</v>
      </c>
      <c r="C132" s="419">
        <f>(H114*365+I114*365+J114*365+K114*365+'Livestock parameters'!T8*L114+M114*'Livestock parameters'!U8)*INPUTS!D23</f>
        <v>0</v>
      </c>
      <c r="D132" s="420">
        <f>B132*Feed!$G$3</f>
        <v>0</v>
      </c>
      <c r="E132" s="420">
        <f>B132*Feed!$P$3</f>
        <v>0</v>
      </c>
      <c r="F132" s="420">
        <f>B132*Feed!$Y$3</f>
        <v>0</v>
      </c>
      <c r="G132" s="420">
        <f>IFERROR(D132/Feed!L52,0)</f>
        <v>0</v>
      </c>
      <c r="H132" s="420">
        <f>IFERROR(E132/Feed!U52,0)</f>
        <v>0</v>
      </c>
      <c r="I132" s="420">
        <f>IFERROR(F132/Feed!AD52,0)</f>
        <v>0</v>
      </c>
      <c r="J132" s="420">
        <f t="shared" si="227"/>
        <v>0</v>
      </c>
      <c r="K132" s="420">
        <f t="shared" si="228"/>
        <v>0</v>
      </c>
      <c r="L132" s="420">
        <f t="shared" si="231"/>
        <v>0</v>
      </c>
      <c r="M132" s="420">
        <f>IFERROR(C132*Feed!$G$3, 0)</f>
        <v>0</v>
      </c>
      <c r="N132" s="420">
        <f>IFERROR(C132*Feed!$P$3, 0)</f>
        <v>0</v>
      </c>
      <c r="O132" s="420">
        <f>IFERROR(C132*Feed!$Y$3, 0)</f>
        <v>0</v>
      </c>
      <c r="P132" s="420">
        <f>IFERROR(M132/(Feed!L50/100),0)</f>
        <v>0</v>
      </c>
      <c r="Q132" s="420">
        <f>IFERROR(N132/(Feed!U50/100),0)</f>
        <v>0</v>
      </c>
      <c r="R132" s="420">
        <f>IFERROR(O132/(Feed!AD50/100),0)</f>
        <v>0</v>
      </c>
      <c r="S132" s="420">
        <f t="shared" si="229"/>
        <v>0</v>
      </c>
      <c r="T132" s="420">
        <f t="shared" si="230"/>
        <v>0</v>
      </c>
      <c r="U132" s="420">
        <f t="shared" si="232"/>
        <v>0</v>
      </c>
      <c r="AA132" s="489"/>
    </row>
    <row r="133" spans="1:33" s="144" customFormat="1">
      <c r="A133" s="13">
        <f>INPUTS!C24</f>
        <v>0</v>
      </c>
      <c r="B133" s="876">
        <f>(B115*365+C115*365+D115*365+E115*365+'Livestock parameters'!T9*F115+G115*'Livestock parameters'!U9)*INPUTS!D24</f>
        <v>0</v>
      </c>
      <c r="C133" s="419">
        <f>(H115*365+I115*365+J115*365+K115*365+'Livestock parameters'!T9*L115+M115*'Livestock parameters'!U9)*INPUTS!D24</f>
        <v>0</v>
      </c>
      <c r="D133" s="420">
        <f>B133*Feed!$G$3</f>
        <v>0</v>
      </c>
      <c r="E133" s="420">
        <f>B133*Feed!$P$3</f>
        <v>0</v>
      </c>
      <c r="F133" s="420">
        <f>B133*Feed!$Y$3</f>
        <v>0</v>
      </c>
      <c r="G133" s="420">
        <f>IFERROR(D133/Feed!L57,0)</f>
        <v>0</v>
      </c>
      <c r="H133" s="420">
        <f>IFERROR(E133/Feed!U57,0)</f>
        <v>0</v>
      </c>
      <c r="I133" s="420">
        <f>IFERROR(F133/Feed!AD57,0)</f>
        <v>0</v>
      </c>
      <c r="J133" s="420">
        <f t="shared" si="227"/>
        <v>0</v>
      </c>
      <c r="K133" s="420">
        <f t="shared" si="228"/>
        <v>0</v>
      </c>
      <c r="L133" s="420">
        <f t="shared" si="231"/>
        <v>0</v>
      </c>
      <c r="M133" s="420">
        <f>IFERROR(C133*Feed!$G$3, 0)</f>
        <v>0</v>
      </c>
      <c r="N133" s="420">
        <f>IFERROR(C133*Feed!$P$3, 0)</f>
        <v>0</v>
      </c>
      <c r="O133" s="420">
        <f>IFERROR(C133*Feed!$Y$3, 0)</f>
        <v>0</v>
      </c>
      <c r="P133" s="420">
        <f>IFERROR(M133/(Feed!L57/100),0)</f>
        <v>0</v>
      </c>
      <c r="Q133" s="420">
        <f>IFERROR(N133/(Feed!U57/100),0)</f>
        <v>0</v>
      </c>
      <c r="R133" s="420">
        <f>IFERROR(O133/(Feed!AD57/100),0)</f>
        <v>0</v>
      </c>
      <c r="S133" s="420">
        <f t="shared" si="229"/>
        <v>0</v>
      </c>
      <c r="T133" s="420">
        <f t="shared" si="230"/>
        <v>0</v>
      </c>
      <c r="U133" s="420">
        <f t="shared" si="232"/>
        <v>0</v>
      </c>
      <c r="AA133" s="489"/>
    </row>
    <row r="134" spans="1:33" s="144" customFormat="1">
      <c r="A134" s="13">
        <f>INPUTS!C25</f>
        <v>0</v>
      </c>
      <c r="B134" s="876">
        <f>(B116*365+C116*365+D116*365+E116*365+'Livestock parameters'!T10*F116+G116*'Livestock parameters'!U10)*INPUTS!D25</f>
        <v>0</v>
      </c>
      <c r="C134" s="419">
        <f>(H116*365+I116*365+J116*365+K116*365+'Livestock parameters'!T10*L116+M116*'Livestock parameters'!U10)*INPUTS!D25</f>
        <v>0</v>
      </c>
      <c r="D134" s="420">
        <f>B134*Feed!$G$3</f>
        <v>0</v>
      </c>
      <c r="E134" s="420">
        <f>B134*Feed!$P$3</f>
        <v>0</v>
      </c>
      <c r="F134" s="420">
        <f>B134*Feed!$Y$3</f>
        <v>0</v>
      </c>
      <c r="G134" s="420">
        <f>IFERROR(D134/Feed!L64,0)</f>
        <v>0</v>
      </c>
      <c r="H134" s="420">
        <f>IFERROR(E134/Feed!U64,0)</f>
        <v>0</v>
      </c>
      <c r="I134" s="420">
        <f>IFERROR(F134/Feed!AD64,0)</f>
        <v>0</v>
      </c>
      <c r="J134" s="420">
        <f t="shared" si="227"/>
        <v>0</v>
      </c>
      <c r="K134" s="420">
        <f t="shared" si="228"/>
        <v>0</v>
      </c>
      <c r="L134" s="420">
        <f t="shared" si="231"/>
        <v>0</v>
      </c>
      <c r="M134" s="420">
        <f>IFERROR(C134*Feed!$G$3, 0)</f>
        <v>0</v>
      </c>
      <c r="N134" s="420">
        <f>IFERROR(C134*Feed!$P$3, 0)</f>
        <v>0</v>
      </c>
      <c r="O134" s="420">
        <f>IFERROR(C134*Feed!$Y$3, 0)</f>
        <v>0</v>
      </c>
      <c r="P134" s="420">
        <f>IFERROR(M134/(Feed!L64/100),0)</f>
        <v>0</v>
      </c>
      <c r="Q134" s="420">
        <f>IFERROR(N134/(Feed!U64/100),0)</f>
        <v>0</v>
      </c>
      <c r="R134" s="420">
        <f>IFERROR(O134/(Feed!AD64/100),0)</f>
        <v>0</v>
      </c>
      <c r="S134" s="420">
        <f t="shared" si="229"/>
        <v>0</v>
      </c>
      <c r="T134" s="420">
        <f t="shared" si="230"/>
        <v>0</v>
      </c>
      <c r="U134" s="420">
        <f t="shared" si="232"/>
        <v>0</v>
      </c>
      <c r="AA134" s="489"/>
    </row>
    <row r="135" spans="1:33" s="144" customFormat="1">
      <c r="A135" s="13">
        <f>INPUTS!C26</f>
        <v>0</v>
      </c>
      <c r="B135" s="876">
        <f>(B117*365+C117*365+D117*365+E117*365+'Livestock parameters'!T11*F117+G117*'Livestock parameters'!U11)*INPUTS!D26</f>
        <v>0</v>
      </c>
      <c r="C135" s="419">
        <f>(H117*365+I117*365+J117*365+K117*365+'Livestock parameters'!T11*L117+M117*'Livestock parameters'!U11)*INPUTS!D26</f>
        <v>0</v>
      </c>
      <c r="D135" s="420">
        <f>B135*Feed!$G$3</f>
        <v>0</v>
      </c>
      <c r="E135" s="420">
        <f>B135*Feed!$P$3</f>
        <v>0</v>
      </c>
      <c r="F135" s="420">
        <f>B135*Feed!$Y$3</f>
        <v>0</v>
      </c>
      <c r="G135" s="420">
        <f>IFERROR(D135/Feed!L71,0)</f>
        <v>0</v>
      </c>
      <c r="H135" s="420">
        <f>IFERROR(E135/Feed!U71,0)</f>
        <v>0</v>
      </c>
      <c r="I135" s="420">
        <f>IFERROR(F135/Feed!AD71,0)</f>
        <v>0</v>
      </c>
      <c r="J135" s="420">
        <f t="shared" si="227"/>
        <v>0</v>
      </c>
      <c r="K135" s="420">
        <f t="shared" si="228"/>
        <v>0</v>
      </c>
      <c r="L135" s="420">
        <f t="shared" si="231"/>
        <v>0</v>
      </c>
      <c r="M135" s="420">
        <f>IFERROR(C135*Feed!$G$3, 0)</f>
        <v>0</v>
      </c>
      <c r="N135" s="420">
        <f>IFERROR(C135*Feed!$P$3, 0)</f>
        <v>0</v>
      </c>
      <c r="O135" s="420">
        <f>IFERROR(C135*Feed!$Y$3, 0)</f>
        <v>0</v>
      </c>
      <c r="P135" s="420">
        <f>IFERROR(M135/(Feed!L71/100),0)</f>
        <v>0</v>
      </c>
      <c r="Q135" s="420">
        <f>IFERROR(N135/(Feed!U71/100),0)</f>
        <v>0</v>
      </c>
      <c r="R135" s="420">
        <f>IFERROR(O135/(Feed!AD71/100),0)</f>
        <v>0</v>
      </c>
      <c r="S135" s="420">
        <f t="shared" si="229"/>
        <v>0</v>
      </c>
      <c r="T135" s="420">
        <f t="shared" si="230"/>
        <v>0</v>
      </c>
      <c r="U135" s="420">
        <f t="shared" si="232"/>
        <v>0</v>
      </c>
      <c r="AA135" s="489"/>
    </row>
    <row r="136" spans="1:33" s="144" customFormat="1">
      <c r="A136" s="13">
        <f>INPUTS!C27</f>
        <v>0</v>
      </c>
      <c r="B136" s="876">
        <f>(B118*365+C118*365+D118*365+E118*365+'Livestock parameters'!T12*F118+G118*'Livestock parameters'!U12)*INPUTS!D27</f>
        <v>0</v>
      </c>
      <c r="C136" s="419">
        <f>(H118*365+I118*365+J118*365+K118*365+'Livestock parameters'!T12*L118+M118*'Livestock parameters'!U12)*INPUTS!D27</f>
        <v>0</v>
      </c>
      <c r="D136" s="420">
        <f>B136*Feed!$G$3</f>
        <v>0</v>
      </c>
      <c r="E136" s="420">
        <f>B136*Feed!$P$3</f>
        <v>0</v>
      </c>
      <c r="F136" s="420">
        <f>B136*Feed!$Y$3</f>
        <v>0</v>
      </c>
      <c r="G136" s="420">
        <f>IFERROR(D136/Feed!L78,0)</f>
        <v>0</v>
      </c>
      <c r="H136" s="420">
        <f>IFERROR(E136/Feed!U78,0)</f>
        <v>0</v>
      </c>
      <c r="I136" s="420">
        <f>IFERROR(F136/Feed!AD78,0)</f>
        <v>0</v>
      </c>
      <c r="J136" s="420">
        <f t="shared" si="227"/>
        <v>0</v>
      </c>
      <c r="K136" s="420">
        <f t="shared" si="228"/>
        <v>0</v>
      </c>
      <c r="L136" s="420">
        <f t="shared" si="231"/>
        <v>0</v>
      </c>
      <c r="M136" s="420">
        <f>IFERROR(C136*Feed!$G$3, 0)</f>
        <v>0</v>
      </c>
      <c r="N136" s="420">
        <f>IFERROR(C136*Feed!$P$3, 0)</f>
        <v>0</v>
      </c>
      <c r="O136" s="420">
        <f>IFERROR(C136*Feed!$Y$3, 0)</f>
        <v>0</v>
      </c>
      <c r="P136" s="420">
        <f>IFERROR(M136/(Feed!L78/100),0)</f>
        <v>0</v>
      </c>
      <c r="Q136" s="420">
        <f>IFERROR(N136/(Feed!U78/100),0)</f>
        <v>0</v>
      </c>
      <c r="R136" s="420">
        <f>IFERROR(O136/(Feed!AD78/100),0)</f>
        <v>0</v>
      </c>
      <c r="S136" s="420">
        <f t="shared" si="229"/>
        <v>0</v>
      </c>
      <c r="T136" s="420">
        <f t="shared" si="230"/>
        <v>0</v>
      </c>
      <c r="U136" s="420">
        <f t="shared" si="232"/>
        <v>0</v>
      </c>
      <c r="AA136" s="489"/>
    </row>
    <row r="137" spans="1:33" s="144" customFormat="1">
      <c r="A137" s="13">
        <f>INPUTS!C28</f>
        <v>0</v>
      </c>
      <c r="B137" s="876">
        <f>(B119*365+C119*365+D119*365+E119*365+'Livestock parameters'!T13*F119+G119*'Livestock parameters'!U13)*INPUTS!D28</f>
        <v>0</v>
      </c>
      <c r="C137" s="419">
        <f>(H119*365+I119*365+J119*365+K119*365+'Livestock parameters'!T13*L119+M119*'Livestock parameters'!U13)*INPUTS!D28</f>
        <v>0</v>
      </c>
      <c r="D137" s="420">
        <f>B137*Feed!$G$3</f>
        <v>0</v>
      </c>
      <c r="E137" s="420">
        <f>B137*Feed!$P$3</f>
        <v>0</v>
      </c>
      <c r="F137" s="420">
        <f>B137*Feed!$Y$3</f>
        <v>0</v>
      </c>
      <c r="G137" s="420">
        <f>IFERROR(D137/Feed!L85,0)</f>
        <v>0</v>
      </c>
      <c r="H137" s="420">
        <f>IFERROR(E137/Feed!U85,0)</f>
        <v>0</v>
      </c>
      <c r="I137" s="420">
        <f>IFERROR(F137/Feed!AD85,0)</f>
        <v>0</v>
      </c>
      <c r="J137" s="420">
        <f t="shared" si="227"/>
        <v>0</v>
      </c>
      <c r="K137" s="420">
        <f t="shared" si="228"/>
        <v>0</v>
      </c>
      <c r="L137" s="420">
        <f t="shared" si="231"/>
        <v>0</v>
      </c>
      <c r="M137" s="420">
        <f>IFERROR(C137*Feed!$G$3, 0)</f>
        <v>0</v>
      </c>
      <c r="N137" s="420">
        <f>IFERROR(C137*Feed!$P$3, 0)</f>
        <v>0</v>
      </c>
      <c r="O137" s="420">
        <f>IFERROR(C137*Feed!$Y$3, 0)</f>
        <v>0</v>
      </c>
      <c r="P137" s="420">
        <f>IFERROR(M137/(Feed!L85/100),0)</f>
        <v>0</v>
      </c>
      <c r="Q137" s="420">
        <f>IFERROR(N137/(Feed!U85/100),0)</f>
        <v>0</v>
      </c>
      <c r="R137" s="420">
        <f>IFERROR(O137/(Feed!AD85/100),0)</f>
        <v>0</v>
      </c>
      <c r="S137" s="420">
        <f t="shared" si="229"/>
        <v>0</v>
      </c>
      <c r="T137" s="420">
        <f t="shared" si="230"/>
        <v>0</v>
      </c>
      <c r="U137" s="420">
        <f t="shared" si="232"/>
        <v>0</v>
      </c>
      <c r="AA137" s="489"/>
    </row>
    <row r="138" spans="1:33" s="144" customFormat="1">
      <c r="A138" s="13">
        <f>INPUTS!C29</f>
        <v>0</v>
      </c>
      <c r="B138" s="876">
        <f>(B120*365+C120*365+D120*365+E120*365+'Livestock parameters'!T14*F120+G120*'Livestock parameters'!U14)*INPUTS!D29</f>
        <v>0</v>
      </c>
      <c r="C138" s="419">
        <f>(H120*365+I120*365+J120*365+K120*365+'Livestock parameters'!T14*L120+M120*'Livestock parameters'!U14)*INPUTS!D29</f>
        <v>0</v>
      </c>
      <c r="D138" s="420">
        <f>B138*Feed!$G$3</f>
        <v>0</v>
      </c>
      <c r="E138" s="420">
        <f>B138*Feed!$P$3</f>
        <v>0</v>
      </c>
      <c r="F138" s="420">
        <f>B138*Feed!$Y$3</f>
        <v>0</v>
      </c>
      <c r="G138" s="420">
        <f>IFERROR(D138/Feed!L92,0)</f>
        <v>0</v>
      </c>
      <c r="H138" s="420">
        <f>IFERROR(E138/Feed!U92,0)</f>
        <v>0</v>
      </c>
      <c r="I138" s="420">
        <f>IFERROR(F138/Feed!AD92,0)</f>
        <v>0</v>
      </c>
      <c r="J138" s="420">
        <f t="shared" si="227"/>
        <v>0</v>
      </c>
      <c r="K138" s="420">
        <f t="shared" si="228"/>
        <v>0</v>
      </c>
      <c r="L138" s="420">
        <f t="shared" si="231"/>
        <v>0</v>
      </c>
      <c r="M138" s="420">
        <f>IFERROR(C138*Feed!$G$3, 0)</f>
        <v>0</v>
      </c>
      <c r="N138" s="420">
        <f>IFERROR(C138*Feed!$P$3, 0)</f>
        <v>0</v>
      </c>
      <c r="O138" s="420">
        <f>IFERROR(C138*Feed!$Y$3, 0)</f>
        <v>0</v>
      </c>
      <c r="P138" s="420">
        <f>IFERROR(M138/(Feed!L92/100),0)</f>
        <v>0</v>
      </c>
      <c r="Q138" s="420">
        <f>IFERROR(N138/(Feed!U92/100),0)</f>
        <v>0</v>
      </c>
      <c r="R138" s="420">
        <f>IFERROR(O138/(Feed!AD92/100),0)</f>
        <v>0</v>
      </c>
      <c r="S138" s="420">
        <f t="shared" si="229"/>
        <v>0</v>
      </c>
      <c r="T138" s="420">
        <f t="shared" si="230"/>
        <v>0</v>
      </c>
      <c r="U138" s="420">
        <f t="shared" si="232"/>
        <v>0</v>
      </c>
      <c r="AA138" s="489"/>
    </row>
    <row r="139" spans="1:33" s="144" customFormat="1">
      <c r="A139" s="13">
        <f>INPUTS!C30</f>
        <v>0</v>
      </c>
      <c r="B139" s="876">
        <f>(B121*365+C121*365+D121*365+E121*365+'Livestock parameters'!T15*F121+G121*'Livestock parameters'!U15)*INPUTS!D30</f>
        <v>0</v>
      </c>
      <c r="C139" s="419">
        <f>(H121*365+I121*365+J121*365+K121*365+'Livestock parameters'!T15*L121+M121*'Livestock parameters'!U15)*INPUTS!D30</f>
        <v>0</v>
      </c>
      <c r="D139" s="420">
        <f>B139*Feed!$G$3</f>
        <v>0</v>
      </c>
      <c r="E139" s="420">
        <f>B139*Feed!$P$3</f>
        <v>0</v>
      </c>
      <c r="F139" s="420">
        <f>B139*Feed!$Y$3</f>
        <v>0</v>
      </c>
      <c r="G139" s="420">
        <f>IFERROR(D139/Feed!L99,0)</f>
        <v>0</v>
      </c>
      <c r="H139" s="420">
        <f>IFERROR(E139/Feed!U99,0)</f>
        <v>0</v>
      </c>
      <c r="I139" s="420">
        <f>IFERROR(F139/Feed!AD99,0)</f>
        <v>0</v>
      </c>
      <c r="J139" s="420">
        <f t="shared" si="227"/>
        <v>0</v>
      </c>
      <c r="K139" s="420">
        <f t="shared" si="228"/>
        <v>0</v>
      </c>
      <c r="L139" s="420">
        <f t="shared" si="231"/>
        <v>0</v>
      </c>
      <c r="M139" s="420">
        <f>IFERROR(C139*Feed!$G$3, 0)</f>
        <v>0</v>
      </c>
      <c r="N139" s="420">
        <f>IFERROR(C139*Feed!$P$3, 0)</f>
        <v>0</v>
      </c>
      <c r="O139" s="420">
        <f>IFERROR(C139*Feed!$Y$3, 0)</f>
        <v>0</v>
      </c>
      <c r="P139" s="420">
        <f>IFERROR(M139/(Feed!L99/100),0)</f>
        <v>0</v>
      </c>
      <c r="Q139" s="420">
        <f>IFERROR(N139/(Feed!U99/100),0)</f>
        <v>0</v>
      </c>
      <c r="R139" s="420">
        <f>IFERROR(O139/(Feed!AD99/100),0)</f>
        <v>0</v>
      </c>
      <c r="S139" s="420">
        <f t="shared" si="229"/>
        <v>0</v>
      </c>
      <c r="T139" s="420">
        <f t="shared" si="230"/>
        <v>0</v>
      </c>
      <c r="U139" s="420">
        <f t="shared" si="232"/>
        <v>0</v>
      </c>
      <c r="X139" s="227"/>
      <c r="AA139" s="489"/>
      <c r="AG139" s="225"/>
    </row>
    <row r="140" spans="1:33" s="144" customFormat="1">
      <c r="O140" s="226"/>
      <c r="S140" s="227"/>
      <c r="V140" s="489"/>
      <c r="AB140" s="225"/>
    </row>
    <row r="141" spans="1:33" s="144" customFormat="1">
      <c r="O141" s="226"/>
      <c r="S141" s="227"/>
      <c r="V141" s="489"/>
      <c r="AB141" s="225"/>
    </row>
    <row r="142" spans="1:33" s="144" customFormat="1">
      <c r="A142" s="172"/>
      <c r="B142" s="172" t="s">
        <v>1148</v>
      </c>
      <c r="C142" s="172" t="s">
        <v>1149</v>
      </c>
      <c r="D142" s="172" t="s">
        <v>1844</v>
      </c>
      <c r="E142" s="172" t="s">
        <v>1162</v>
      </c>
      <c r="F142" s="172" t="s">
        <v>1163</v>
      </c>
      <c r="G142" s="172" t="s">
        <v>1845</v>
      </c>
      <c r="H142" s="173" t="s">
        <v>1166</v>
      </c>
      <c r="I142" s="173" t="s">
        <v>1167</v>
      </c>
      <c r="J142" s="173" t="s">
        <v>1846</v>
      </c>
      <c r="K142" s="173" t="s">
        <v>1168</v>
      </c>
      <c r="L142" s="173" t="s">
        <v>1169</v>
      </c>
      <c r="M142" s="173" t="s">
        <v>1847</v>
      </c>
      <c r="N142" s="488" t="s">
        <v>1173</v>
      </c>
      <c r="O142" s="488" t="s">
        <v>1174</v>
      </c>
      <c r="P142" s="488" t="s">
        <v>1309</v>
      </c>
      <c r="R142" s="144" t="s">
        <v>1329</v>
      </c>
      <c r="S142" s="226"/>
      <c r="T142" s="144" t="s">
        <v>1330</v>
      </c>
      <c r="U142" s="226"/>
      <c r="V142" s="144" t="s">
        <v>1331</v>
      </c>
      <c r="W142" s="226"/>
      <c r="X142" s="144" t="s">
        <v>1332</v>
      </c>
      <c r="Y142" s="226"/>
      <c r="Z142" s="144" t="s">
        <v>1333</v>
      </c>
      <c r="AA142" s="226"/>
      <c r="AB142" s="144" t="s">
        <v>1334</v>
      </c>
      <c r="AC142" s="226"/>
      <c r="AD142" s="144" t="s">
        <v>1335</v>
      </c>
      <c r="AE142" s="226"/>
      <c r="AF142" s="144" t="s">
        <v>1336</v>
      </c>
    </row>
    <row r="143" spans="1:33" s="144" customFormat="1">
      <c r="A143" s="172" t="str">
        <f>INPUTS!C17</f>
        <v>Cows (improved)</v>
      </c>
      <c r="B143" s="244">
        <f>J126</f>
        <v>3812.9366476705136</v>
      </c>
      <c r="C143" s="244">
        <f>K126</f>
        <v>3195.6187228945969</v>
      </c>
      <c r="D143" s="244">
        <f>L126</f>
        <v>0</v>
      </c>
      <c r="E143" s="244">
        <f t="shared" ref="E143:E156" si="233">S126</f>
        <v>3630.8298651551536</v>
      </c>
      <c r="F143" s="244">
        <f t="shared" ref="F143:F156" si="234">T126</f>
        <v>3671.8438969555073</v>
      </c>
      <c r="G143" s="244">
        <f t="shared" ref="G143:G156" si="235">U126</f>
        <v>0</v>
      </c>
      <c r="H143" s="244">
        <f>IF(E143&gt;B143,E143,B143)</f>
        <v>3812.9366476705136</v>
      </c>
      <c r="I143" s="244">
        <f>IF(F143&gt;C143,F143,C143)</f>
        <v>3671.8438969555073</v>
      </c>
      <c r="J143" s="244">
        <f>IF(G143&gt;D143,G143,D143)</f>
        <v>0</v>
      </c>
      <c r="K143" s="244" t="str">
        <f>IF(OR(B143=0,E143=0),"",IF(E143&gt;B143,"CP","ENERGY"))</f>
        <v>ENERGY</v>
      </c>
      <c r="L143" s="244" t="str">
        <f>IF(OR(C143=0,F143=0),"",IF(F143&gt;C143,"CP","ENERGY"))</f>
        <v>CP</v>
      </c>
      <c r="M143" s="244" t="str">
        <f>IF(OR(D143=0,G143=0),"",IF(G143&gt;D143,"CP","ENERGY"))</f>
        <v/>
      </c>
      <c r="N143" s="645">
        <f>IFERROR((H143*L10*100/L11+I143*U10*100/U11+J143*AD10*100/AD11), 0)</f>
        <v>0</v>
      </c>
      <c r="O143" s="645">
        <f>IFERROR(N143/0.81,0)</f>
        <v>0</v>
      </c>
      <c r="P143" s="645">
        <f t="shared" ref="P143:P156" si="236">(H143+I143)*18.45</f>
        <v>138094.20104835008</v>
      </c>
      <c r="R143" s="656">
        <f t="shared" ref="R143:R156" si="237">H143+I143</f>
        <v>7484.7805446260209</v>
      </c>
      <c r="S143" s="226">
        <f t="shared" ref="S143:S156" si="238">E12*$G$3+N12*$P$3</f>
        <v>0.13506500819318903</v>
      </c>
      <c r="T143" s="144">
        <f t="shared" ref="T143:T156" si="239">$R143*S143</f>
        <v>1010.9319455841354</v>
      </c>
      <c r="U143" s="226">
        <f t="shared" ref="U143:U156" si="240">F12*$G$3+O12*$P$3</f>
        <v>4.1836674805000994E-2</v>
      </c>
      <c r="V143" s="144">
        <f t="shared" ref="V143:V156" si="241">$R143*U143</f>
        <v>313.13832963231704</v>
      </c>
      <c r="W143" s="226">
        <f t="shared" ref="W143:W156" si="242">G12*$G$3+P12*$P$3</f>
        <v>0.16935221342294202</v>
      </c>
      <c r="X143" s="144">
        <f t="shared" ref="X143:X156" si="243">$R143*W143</f>
        <v>1267.5641522173901</v>
      </c>
      <c r="Y143" s="226">
        <f t="shared" ref="Y143:Y156" si="244">H12*$G$3+Q12*$P$3</f>
        <v>8.4835813296382012E-2</v>
      </c>
      <c r="Z143" s="144">
        <f t="shared" ref="Z143:Z156" si="245">$R143*Y143</f>
        <v>634.97744484828559</v>
      </c>
      <c r="AA143" s="226">
        <f t="shared" ref="AA143:AA156" si="246">I12*$G$3+R12*$P$3</f>
        <v>0.16213904629615766</v>
      </c>
      <c r="AB143" s="144">
        <f t="shared" ref="AB143:AB156" si="247">$R143*AA143</f>
        <v>1213.5751792416986</v>
      </c>
      <c r="AC143" s="226">
        <f t="shared" ref="AC143:AC156" si="248">J12*$G$3+S12*$P$3</f>
        <v>0.4067712439863283</v>
      </c>
      <c r="AD143" s="144">
        <f t="shared" ref="AD143:AD156" si="249">$R143*AC143</f>
        <v>3044.5934931021943</v>
      </c>
      <c r="AE143" s="226">
        <f t="shared" ref="AE143:AE156" si="250">K12*$G$3+T12*$K$3</f>
        <v>0</v>
      </c>
      <c r="AF143" s="144">
        <f t="shared" ref="AF143:AF156" si="251">$R143*AE143</f>
        <v>0</v>
      </c>
    </row>
    <row r="144" spans="1:33" s="144" customFormat="1">
      <c r="A144" s="172" t="str">
        <f>INPUTS!C18</f>
        <v>Steers/heifers</v>
      </c>
      <c r="B144" s="244">
        <f t="shared" ref="B144:B156" si="252">J127</f>
        <v>4642.1321354675629</v>
      </c>
      <c r="C144" s="244">
        <f t="shared" ref="C144:C156" si="253">K127</f>
        <v>3890.5667040950816</v>
      </c>
      <c r="D144" s="244">
        <f t="shared" ref="D144:D156" si="254">L127</f>
        <v>0</v>
      </c>
      <c r="E144" s="244">
        <f t="shared" si="233"/>
        <v>3195.2312047929722</v>
      </c>
      <c r="F144" s="244">
        <f t="shared" si="234"/>
        <v>3231.3246928135845</v>
      </c>
      <c r="G144" s="244">
        <f t="shared" si="235"/>
        <v>0</v>
      </c>
      <c r="H144" s="244">
        <f t="shared" ref="H144:H156" si="255">IF(E144&gt;B144,E144,B144)</f>
        <v>4642.1321354675629</v>
      </c>
      <c r="I144" s="244">
        <f t="shared" ref="I144:I156" si="256">IF(F144&gt;C144,F144,C144)</f>
        <v>3890.5667040950816</v>
      </c>
      <c r="J144" s="244">
        <f t="shared" ref="J144:J156" si="257">IF(G144&gt;D144,G144,D144)</f>
        <v>0</v>
      </c>
      <c r="K144" s="244" t="str">
        <f t="shared" ref="K144:K156" si="258">IF(OR(B144=0,E144=0),"",IF(E144&gt;B144,"CP","ENERGY"))</f>
        <v>ENERGY</v>
      </c>
      <c r="L144" s="244" t="str">
        <f t="shared" ref="L144:L156" si="259">IF(OR(C144=0,F144=0),"",IF(F144&gt;C144,"CP","ENERGY"))</f>
        <v>ENERGY</v>
      </c>
      <c r="M144" s="244" t="str">
        <f t="shared" ref="M144:M156" si="260">IF(OR(D144=0,G144=0),"",IF(G144&gt;D144,"CP","ENERGY"))</f>
        <v/>
      </c>
      <c r="N144" s="645">
        <f>IFERROR((H144*L17*100/L18+I144*U17*100/U18+J144*AD17*100/AD18), 0)</f>
        <v>0</v>
      </c>
      <c r="O144" s="645">
        <f t="shared" ref="O144:O156" si="261">IFERROR(N144/0.81,0)</f>
        <v>0</v>
      </c>
      <c r="P144" s="645">
        <f t="shared" si="236"/>
        <v>157428.29358993081</v>
      </c>
      <c r="R144" s="656">
        <f t="shared" si="237"/>
        <v>8532.6988395626449</v>
      </c>
      <c r="S144" s="226">
        <f t="shared" si="238"/>
        <v>0</v>
      </c>
      <c r="T144" s="144">
        <f t="shared" si="239"/>
        <v>0</v>
      </c>
      <c r="U144" s="226">
        <f t="shared" si="240"/>
        <v>0</v>
      </c>
      <c r="V144" s="144">
        <f t="shared" si="241"/>
        <v>0</v>
      </c>
      <c r="W144" s="226">
        <f t="shared" si="242"/>
        <v>0</v>
      </c>
      <c r="X144" s="144">
        <f t="shared" si="243"/>
        <v>0</v>
      </c>
      <c r="Y144" s="226">
        <f t="shared" si="244"/>
        <v>0</v>
      </c>
      <c r="Z144" s="144">
        <f t="shared" si="245"/>
        <v>0</v>
      </c>
      <c r="AA144" s="226">
        <f t="shared" si="246"/>
        <v>0</v>
      </c>
      <c r="AB144" s="144">
        <f t="shared" si="247"/>
        <v>0</v>
      </c>
      <c r="AC144" s="226">
        <f t="shared" si="248"/>
        <v>0</v>
      </c>
      <c r="AD144" s="144">
        <f t="shared" si="249"/>
        <v>0</v>
      </c>
      <c r="AE144" s="226">
        <f t="shared" si="250"/>
        <v>0</v>
      </c>
      <c r="AF144" s="144">
        <f t="shared" si="251"/>
        <v>0</v>
      </c>
    </row>
    <row r="145" spans="1:32" s="144" customFormat="1">
      <c r="A145" s="172">
        <f>INPUTS!C19</f>
        <v>0</v>
      </c>
      <c r="B145" s="244">
        <f t="shared" si="252"/>
        <v>0</v>
      </c>
      <c r="C145" s="244">
        <f t="shared" si="253"/>
        <v>0</v>
      </c>
      <c r="D145" s="244">
        <f t="shared" si="254"/>
        <v>0</v>
      </c>
      <c r="E145" s="244">
        <f t="shared" si="233"/>
        <v>0</v>
      </c>
      <c r="F145" s="244">
        <f t="shared" si="234"/>
        <v>0</v>
      </c>
      <c r="G145" s="244">
        <f t="shared" si="235"/>
        <v>0</v>
      </c>
      <c r="H145" s="244">
        <f t="shared" si="255"/>
        <v>0</v>
      </c>
      <c r="I145" s="244">
        <f t="shared" si="256"/>
        <v>0</v>
      </c>
      <c r="J145" s="244">
        <f t="shared" si="257"/>
        <v>0</v>
      </c>
      <c r="K145" s="244" t="str">
        <f t="shared" si="258"/>
        <v/>
      </c>
      <c r="L145" s="244" t="str">
        <f t="shared" si="259"/>
        <v/>
      </c>
      <c r="M145" s="244" t="str">
        <f t="shared" si="260"/>
        <v/>
      </c>
      <c r="N145" s="645">
        <f>IFERROR((H145*L24*100/L25+I145*U24*100/U25+J145*AD24*100/AD25), 0)</f>
        <v>0</v>
      </c>
      <c r="O145" s="645">
        <f t="shared" si="261"/>
        <v>0</v>
      </c>
      <c r="P145" s="645">
        <f t="shared" si="236"/>
        <v>0</v>
      </c>
      <c r="R145" s="656">
        <f t="shared" si="237"/>
        <v>0</v>
      </c>
      <c r="S145" s="226">
        <f t="shared" si="238"/>
        <v>6.4383561643835616E-2</v>
      </c>
      <c r="T145" s="144">
        <f t="shared" si="239"/>
        <v>0</v>
      </c>
      <c r="U145" s="226">
        <f t="shared" si="240"/>
        <v>0.11643835616438356</v>
      </c>
      <c r="V145" s="144">
        <f t="shared" si="241"/>
        <v>0</v>
      </c>
      <c r="W145" s="226">
        <f t="shared" si="242"/>
        <v>0.28369863013698626</v>
      </c>
      <c r="X145" s="144">
        <f t="shared" si="243"/>
        <v>0</v>
      </c>
      <c r="Y145" s="226">
        <f t="shared" si="244"/>
        <v>0.16986301369863013</v>
      </c>
      <c r="Z145" s="144">
        <f t="shared" si="245"/>
        <v>0</v>
      </c>
      <c r="AA145" s="226">
        <f t="shared" si="246"/>
        <v>8.2328767123287669E-2</v>
      </c>
      <c r="AB145" s="144">
        <f t="shared" si="247"/>
        <v>0</v>
      </c>
      <c r="AC145" s="226">
        <f t="shared" si="248"/>
        <v>0.28328767123287668</v>
      </c>
      <c r="AD145" s="144">
        <f t="shared" si="249"/>
        <v>0</v>
      </c>
      <c r="AE145" s="226">
        <f t="shared" si="250"/>
        <v>0</v>
      </c>
      <c r="AF145" s="144">
        <f t="shared" si="251"/>
        <v>0</v>
      </c>
    </row>
    <row r="146" spans="1:32" s="144" customFormat="1">
      <c r="A146" s="172">
        <f>INPUTS!C20</f>
        <v>0</v>
      </c>
      <c r="B146" s="244">
        <f t="shared" si="252"/>
        <v>0</v>
      </c>
      <c r="C146" s="244">
        <f t="shared" si="253"/>
        <v>0</v>
      </c>
      <c r="D146" s="244">
        <f t="shared" si="254"/>
        <v>0</v>
      </c>
      <c r="E146" s="244">
        <f t="shared" si="233"/>
        <v>0</v>
      </c>
      <c r="F146" s="244">
        <f t="shared" si="234"/>
        <v>0</v>
      </c>
      <c r="G146" s="244">
        <f t="shared" si="235"/>
        <v>0</v>
      </c>
      <c r="H146" s="244">
        <f t="shared" si="255"/>
        <v>0</v>
      </c>
      <c r="I146" s="244">
        <f t="shared" si="256"/>
        <v>0</v>
      </c>
      <c r="J146" s="244">
        <f t="shared" si="257"/>
        <v>0</v>
      </c>
      <c r="K146" s="244" t="str">
        <f t="shared" si="258"/>
        <v/>
      </c>
      <c r="L146" s="244" t="str">
        <f t="shared" si="259"/>
        <v/>
      </c>
      <c r="M146" s="244" t="str">
        <f t="shared" si="260"/>
        <v/>
      </c>
      <c r="N146" s="645">
        <f>IFERROR((H146*L31*100/L32+I146*U31*100/U32+J146*AD31*100/AD32), 0)</f>
        <v>0</v>
      </c>
      <c r="O146" s="645">
        <f t="shared" si="261"/>
        <v>0</v>
      </c>
      <c r="P146" s="645">
        <f t="shared" si="236"/>
        <v>0</v>
      </c>
      <c r="R146" s="656">
        <f t="shared" si="237"/>
        <v>0</v>
      </c>
      <c r="S146" s="226">
        <f t="shared" si="238"/>
        <v>14.399999999999999</v>
      </c>
      <c r="T146" s="144">
        <f t="shared" si="239"/>
        <v>0</v>
      </c>
      <c r="U146" s="226">
        <f t="shared" si="240"/>
        <v>1.65</v>
      </c>
      <c r="V146" s="144">
        <f t="shared" si="241"/>
        <v>0</v>
      </c>
      <c r="W146" s="226">
        <f t="shared" si="242"/>
        <v>2.5148999999999999</v>
      </c>
      <c r="X146" s="144">
        <f t="shared" si="243"/>
        <v>0</v>
      </c>
      <c r="Y146" s="226">
        <f t="shared" si="244"/>
        <v>1.21</v>
      </c>
      <c r="Z146" s="144">
        <f t="shared" si="245"/>
        <v>0</v>
      </c>
      <c r="AA146" s="226">
        <f t="shared" si="246"/>
        <v>3.3929999999999998</v>
      </c>
      <c r="AB146" s="144">
        <f t="shared" si="247"/>
        <v>0</v>
      </c>
      <c r="AC146" s="226">
        <f t="shared" si="248"/>
        <v>3.5999999999999996</v>
      </c>
      <c r="AD146" s="144">
        <f t="shared" si="249"/>
        <v>0</v>
      </c>
      <c r="AE146" s="226">
        <f t="shared" si="250"/>
        <v>0</v>
      </c>
      <c r="AF146" s="144">
        <f t="shared" si="251"/>
        <v>0</v>
      </c>
    </row>
    <row r="147" spans="1:32" s="144" customFormat="1">
      <c r="A147" s="172">
        <f>INPUTS!C21</f>
        <v>0</v>
      </c>
      <c r="B147" s="244">
        <f t="shared" si="252"/>
        <v>0</v>
      </c>
      <c r="C147" s="244">
        <f t="shared" si="253"/>
        <v>0</v>
      </c>
      <c r="D147" s="244">
        <f t="shared" si="254"/>
        <v>0</v>
      </c>
      <c r="E147" s="244">
        <f t="shared" si="233"/>
        <v>0</v>
      </c>
      <c r="F147" s="244">
        <f t="shared" si="234"/>
        <v>0</v>
      </c>
      <c r="G147" s="244">
        <f t="shared" si="235"/>
        <v>0</v>
      </c>
      <c r="H147" s="244">
        <f t="shared" si="255"/>
        <v>0</v>
      </c>
      <c r="I147" s="244">
        <f t="shared" si="256"/>
        <v>0</v>
      </c>
      <c r="J147" s="244">
        <f t="shared" si="257"/>
        <v>0</v>
      </c>
      <c r="K147" s="244" t="str">
        <f t="shared" si="258"/>
        <v/>
      </c>
      <c r="L147" s="244" t="str">
        <f t="shared" si="259"/>
        <v/>
      </c>
      <c r="M147" s="244" t="str">
        <f t="shared" si="260"/>
        <v/>
      </c>
      <c r="N147" s="645">
        <f>IFERROR((H147*L38*100/L39+I147*U38*100/U39+J147*AD38*100/AD39), 0)</f>
        <v>0</v>
      </c>
      <c r="O147" s="645">
        <f t="shared" si="261"/>
        <v>0</v>
      </c>
      <c r="P147" s="645">
        <f t="shared" si="236"/>
        <v>0</v>
      </c>
      <c r="R147" s="656">
        <f t="shared" si="237"/>
        <v>0</v>
      </c>
      <c r="S147" s="226">
        <f t="shared" si="238"/>
        <v>0.79859999999999998</v>
      </c>
      <c r="T147" s="144">
        <f t="shared" si="239"/>
        <v>0</v>
      </c>
      <c r="U147" s="226">
        <f t="shared" si="240"/>
        <v>0.65213596800000007</v>
      </c>
      <c r="V147" s="144">
        <f t="shared" si="241"/>
        <v>0</v>
      </c>
      <c r="W147" s="226">
        <f t="shared" si="242"/>
        <v>0.53459999999999996</v>
      </c>
      <c r="X147" s="144">
        <f t="shared" si="243"/>
        <v>0</v>
      </c>
      <c r="Y147" s="226">
        <f t="shared" si="244"/>
        <v>0.5411999999999999</v>
      </c>
      <c r="Z147" s="144">
        <f t="shared" si="245"/>
        <v>0</v>
      </c>
      <c r="AA147" s="226">
        <f t="shared" si="246"/>
        <v>0.45539999999999992</v>
      </c>
      <c r="AB147" s="144">
        <f t="shared" si="247"/>
        <v>0</v>
      </c>
      <c r="AC147" s="226">
        <f t="shared" si="248"/>
        <v>0.32999999999999996</v>
      </c>
      <c r="AD147" s="144">
        <f t="shared" si="249"/>
        <v>0</v>
      </c>
      <c r="AE147" s="226">
        <f t="shared" si="250"/>
        <v>0</v>
      </c>
      <c r="AF147" s="144">
        <f t="shared" si="251"/>
        <v>0</v>
      </c>
    </row>
    <row r="148" spans="1:32" s="144" customFormat="1">
      <c r="A148" s="172">
        <f>INPUTS!C22</f>
        <v>0</v>
      </c>
      <c r="B148" s="244">
        <f t="shared" si="252"/>
        <v>0</v>
      </c>
      <c r="C148" s="244">
        <f t="shared" si="253"/>
        <v>0</v>
      </c>
      <c r="D148" s="244">
        <f t="shared" si="254"/>
        <v>0</v>
      </c>
      <c r="E148" s="244">
        <f t="shared" si="233"/>
        <v>0</v>
      </c>
      <c r="F148" s="244">
        <f t="shared" si="234"/>
        <v>0</v>
      </c>
      <c r="G148" s="244">
        <f t="shared" si="235"/>
        <v>0</v>
      </c>
      <c r="H148" s="244">
        <f t="shared" si="255"/>
        <v>0</v>
      </c>
      <c r="I148" s="244">
        <f t="shared" si="256"/>
        <v>0</v>
      </c>
      <c r="J148" s="244">
        <f t="shared" si="257"/>
        <v>0</v>
      </c>
      <c r="K148" s="244" t="str">
        <f t="shared" si="258"/>
        <v/>
      </c>
      <c r="L148" s="244" t="str">
        <f t="shared" si="259"/>
        <v/>
      </c>
      <c r="M148" s="244" t="str">
        <f t="shared" si="260"/>
        <v/>
      </c>
      <c r="N148" s="645">
        <f>IFERROR((H148*L46*100/L46+I148*U45*100/U46+J148*AD45*100/AD46), 0)</f>
        <v>0</v>
      </c>
      <c r="O148" s="645">
        <f t="shared" si="261"/>
        <v>0</v>
      </c>
      <c r="P148" s="645">
        <f t="shared" si="236"/>
        <v>0</v>
      </c>
      <c r="R148" s="656">
        <f t="shared" si="237"/>
        <v>0</v>
      </c>
      <c r="S148" s="226">
        <f t="shared" si="238"/>
        <v>10.89</v>
      </c>
      <c r="T148" s="144">
        <f t="shared" si="239"/>
        <v>0</v>
      </c>
      <c r="U148" s="226">
        <f t="shared" si="240"/>
        <v>1.4821271999999999</v>
      </c>
      <c r="V148" s="144">
        <f t="shared" si="241"/>
        <v>0</v>
      </c>
      <c r="W148" s="226">
        <f t="shared" si="242"/>
        <v>2.0168999999999997</v>
      </c>
      <c r="X148" s="144">
        <f t="shared" si="243"/>
        <v>0</v>
      </c>
      <c r="Y148" s="226">
        <f t="shared" si="244"/>
        <v>1.8039999999999998</v>
      </c>
      <c r="Z148" s="144">
        <f t="shared" si="245"/>
        <v>0</v>
      </c>
      <c r="AA148" s="226">
        <f t="shared" si="246"/>
        <v>6.0030000000000001</v>
      </c>
      <c r="AB148" s="144">
        <f t="shared" si="247"/>
        <v>0</v>
      </c>
      <c r="AC148" s="226">
        <f t="shared" si="248"/>
        <v>3</v>
      </c>
      <c r="AD148" s="144">
        <f t="shared" si="249"/>
        <v>0</v>
      </c>
      <c r="AE148" s="226">
        <f t="shared" si="250"/>
        <v>0</v>
      </c>
      <c r="AF148" s="144">
        <f t="shared" si="251"/>
        <v>0</v>
      </c>
    </row>
    <row r="149" spans="1:32" s="144" customFormat="1">
      <c r="A149" s="172">
        <f>INPUTS!C23</f>
        <v>0</v>
      </c>
      <c r="B149" s="244">
        <f t="shared" si="252"/>
        <v>0</v>
      </c>
      <c r="C149" s="244">
        <f t="shared" si="253"/>
        <v>0</v>
      </c>
      <c r="D149" s="244">
        <f t="shared" si="254"/>
        <v>0</v>
      </c>
      <c r="E149" s="244">
        <f t="shared" si="233"/>
        <v>0</v>
      </c>
      <c r="F149" s="244">
        <f t="shared" si="234"/>
        <v>0</v>
      </c>
      <c r="G149" s="244">
        <f t="shared" si="235"/>
        <v>0</v>
      </c>
      <c r="H149" s="244">
        <f t="shared" si="255"/>
        <v>0</v>
      </c>
      <c r="I149" s="244">
        <f t="shared" si="256"/>
        <v>0</v>
      </c>
      <c r="J149" s="244">
        <f t="shared" si="257"/>
        <v>0</v>
      </c>
      <c r="K149" s="244" t="str">
        <f t="shared" si="258"/>
        <v/>
      </c>
      <c r="L149" s="244" t="str">
        <f t="shared" si="259"/>
        <v/>
      </c>
      <c r="M149" s="244" t="str">
        <f t="shared" si="260"/>
        <v/>
      </c>
      <c r="N149" s="645">
        <f>IFERROR((H149*L52*100/L53+I149*U52*100/U53+J149*AD52*100/AD53), 0)</f>
        <v>0</v>
      </c>
      <c r="O149" s="645">
        <f t="shared" si="261"/>
        <v>0</v>
      </c>
      <c r="P149" s="645">
        <f t="shared" si="236"/>
        <v>0</v>
      </c>
      <c r="R149" s="656">
        <f t="shared" si="237"/>
        <v>0</v>
      </c>
      <c r="S149" s="226">
        <f t="shared" si="238"/>
        <v>90</v>
      </c>
      <c r="T149" s="144">
        <f t="shared" si="239"/>
        <v>0</v>
      </c>
      <c r="U149" s="226">
        <f t="shared" si="240"/>
        <v>15</v>
      </c>
      <c r="V149" s="144">
        <f t="shared" si="241"/>
        <v>0</v>
      </c>
      <c r="W149" s="226">
        <f t="shared" si="242"/>
        <v>24.9</v>
      </c>
      <c r="X149" s="144">
        <f t="shared" si="243"/>
        <v>0</v>
      </c>
      <c r="Y149" s="226">
        <f t="shared" si="244"/>
        <v>22</v>
      </c>
      <c r="Z149" s="144">
        <f t="shared" si="245"/>
        <v>0</v>
      </c>
      <c r="AA149" s="226">
        <f t="shared" si="246"/>
        <v>87</v>
      </c>
      <c r="AB149" s="144">
        <f t="shared" si="247"/>
        <v>0</v>
      </c>
      <c r="AC149" s="226">
        <f t="shared" si="248"/>
        <v>60</v>
      </c>
      <c r="AD149" s="144">
        <f t="shared" si="249"/>
        <v>0</v>
      </c>
      <c r="AE149" s="226">
        <f t="shared" si="250"/>
        <v>0</v>
      </c>
      <c r="AF149" s="144">
        <f t="shared" si="251"/>
        <v>0</v>
      </c>
    </row>
    <row r="150" spans="1:32" s="144" customFormat="1">
      <c r="A150" s="172">
        <f>INPUTS!C24</f>
        <v>0</v>
      </c>
      <c r="B150" s="244">
        <f t="shared" si="252"/>
        <v>0</v>
      </c>
      <c r="C150" s="244">
        <f t="shared" si="253"/>
        <v>0</v>
      </c>
      <c r="D150" s="244">
        <f t="shared" si="254"/>
        <v>0</v>
      </c>
      <c r="E150" s="244">
        <f t="shared" si="233"/>
        <v>0</v>
      </c>
      <c r="F150" s="244">
        <f t="shared" si="234"/>
        <v>0</v>
      </c>
      <c r="G150" s="244">
        <f t="shared" si="235"/>
        <v>0</v>
      </c>
      <c r="H150" s="244">
        <f t="shared" si="255"/>
        <v>0</v>
      </c>
      <c r="I150" s="244">
        <f t="shared" si="256"/>
        <v>0</v>
      </c>
      <c r="J150" s="244">
        <f t="shared" si="257"/>
        <v>0</v>
      </c>
      <c r="K150" s="244" t="str">
        <f t="shared" si="258"/>
        <v/>
      </c>
      <c r="L150" s="244" t="str">
        <f t="shared" si="259"/>
        <v/>
      </c>
      <c r="M150" s="244" t="str">
        <f t="shared" si="260"/>
        <v/>
      </c>
      <c r="N150" s="645">
        <f>IFERROR((H150*L59*100/L60+I150*U59*100/U60+J150*AD59*100/AD60), 0)</f>
        <v>0</v>
      </c>
      <c r="O150" s="645">
        <f t="shared" si="261"/>
        <v>0</v>
      </c>
      <c r="P150" s="645">
        <f t="shared" si="236"/>
        <v>0</v>
      </c>
      <c r="R150" s="656">
        <f t="shared" si="237"/>
        <v>0</v>
      </c>
      <c r="S150" s="226">
        <f t="shared" si="238"/>
        <v>0.13506500819318903</v>
      </c>
      <c r="T150" s="144">
        <f t="shared" si="239"/>
        <v>0</v>
      </c>
      <c r="U150" s="226">
        <f t="shared" si="240"/>
        <v>4.1836674805000994E-2</v>
      </c>
      <c r="V150" s="144">
        <f t="shared" si="241"/>
        <v>0</v>
      </c>
      <c r="W150" s="226">
        <f t="shared" si="242"/>
        <v>0.16935221342294202</v>
      </c>
      <c r="X150" s="144">
        <f t="shared" si="243"/>
        <v>0</v>
      </c>
      <c r="Y150" s="226">
        <f t="shared" si="244"/>
        <v>8.4835813296382012E-2</v>
      </c>
      <c r="Z150" s="144">
        <f t="shared" si="245"/>
        <v>0</v>
      </c>
      <c r="AA150" s="226">
        <f t="shared" si="246"/>
        <v>0.16213904629615766</v>
      </c>
      <c r="AB150" s="144">
        <f t="shared" si="247"/>
        <v>0</v>
      </c>
      <c r="AC150" s="226">
        <f t="shared" si="248"/>
        <v>0.4067712439863283</v>
      </c>
      <c r="AD150" s="144">
        <f t="shared" si="249"/>
        <v>0</v>
      </c>
      <c r="AE150" s="226">
        <f t="shared" si="250"/>
        <v>0</v>
      </c>
      <c r="AF150" s="144">
        <f t="shared" si="251"/>
        <v>0</v>
      </c>
    </row>
    <row r="151" spans="1:32" s="144" customFormat="1">
      <c r="A151" s="172">
        <f>INPUTS!C25</f>
        <v>0</v>
      </c>
      <c r="B151" s="244">
        <f t="shared" si="252"/>
        <v>0</v>
      </c>
      <c r="C151" s="244">
        <f t="shared" si="253"/>
        <v>0</v>
      </c>
      <c r="D151" s="244">
        <f t="shared" si="254"/>
        <v>0</v>
      </c>
      <c r="E151" s="244">
        <f t="shared" si="233"/>
        <v>0</v>
      </c>
      <c r="F151" s="244">
        <f t="shared" si="234"/>
        <v>0</v>
      </c>
      <c r="G151" s="244">
        <f t="shared" si="235"/>
        <v>0</v>
      </c>
      <c r="H151" s="244">
        <f t="shared" si="255"/>
        <v>0</v>
      </c>
      <c r="I151" s="244">
        <f t="shared" si="256"/>
        <v>0</v>
      </c>
      <c r="J151" s="244">
        <f t="shared" si="257"/>
        <v>0</v>
      </c>
      <c r="K151" s="244" t="str">
        <f t="shared" si="258"/>
        <v/>
      </c>
      <c r="L151" s="244" t="str">
        <f t="shared" si="259"/>
        <v/>
      </c>
      <c r="M151" s="244" t="str">
        <f t="shared" si="260"/>
        <v/>
      </c>
      <c r="N151" s="645">
        <f>IFERROR((H151*L66*100/L67+I151*U66*100/U57+J151*AD66*100/AD67), 0)</f>
        <v>0</v>
      </c>
      <c r="O151" s="645">
        <f t="shared" si="261"/>
        <v>0</v>
      </c>
      <c r="P151" s="645">
        <f t="shared" si="236"/>
        <v>0</v>
      </c>
      <c r="R151" s="656">
        <f t="shared" si="237"/>
        <v>0</v>
      </c>
      <c r="S151" s="226">
        <f t="shared" si="238"/>
        <v>0</v>
      </c>
      <c r="T151" s="144">
        <f t="shared" si="239"/>
        <v>0</v>
      </c>
      <c r="U151" s="226">
        <f t="shared" si="240"/>
        <v>0</v>
      </c>
      <c r="V151" s="144">
        <f t="shared" si="241"/>
        <v>0</v>
      </c>
      <c r="W151" s="226">
        <f t="shared" si="242"/>
        <v>0</v>
      </c>
      <c r="X151" s="144">
        <f t="shared" si="243"/>
        <v>0</v>
      </c>
      <c r="Y151" s="226">
        <f t="shared" si="244"/>
        <v>0</v>
      </c>
      <c r="Z151" s="144">
        <f t="shared" si="245"/>
        <v>0</v>
      </c>
      <c r="AA151" s="226">
        <f t="shared" si="246"/>
        <v>0</v>
      </c>
      <c r="AB151" s="144">
        <f t="shared" si="247"/>
        <v>0</v>
      </c>
      <c r="AC151" s="226">
        <f t="shared" si="248"/>
        <v>0</v>
      </c>
      <c r="AD151" s="144">
        <f t="shared" si="249"/>
        <v>0</v>
      </c>
      <c r="AE151" s="226">
        <f t="shared" si="250"/>
        <v>0</v>
      </c>
      <c r="AF151" s="144">
        <f t="shared" si="251"/>
        <v>0</v>
      </c>
    </row>
    <row r="152" spans="1:32" s="144" customFormat="1">
      <c r="A152" s="172">
        <f>INPUTS!C26</f>
        <v>0</v>
      </c>
      <c r="B152" s="244">
        <f t="shared" si="252"/>
        <v>0</v>
      </c>
      <c r="C152" s="244">
        <f t="shared" si="253"/>
        <v>0</v>
      </c>
      <c r="D152" s="244">
        <f t="shared" si="254"/>
        <v>0</v>
      </c>
      <c r="E152" s="244">
        <f t="shared" si="233"/>
        <v>0</v>
      </c>
      <c r="F152" s="244">
        <f t="shared" si="234"/>
        <v>0</v>
      </c>
      <c r="G152" s="244">
        <f t="shared" si="235"/>
        <v>0</v>
      </c>
      <c r="H152" s="244">
        <f t="shared" si="255"/>
        <v>0</v>
      </c>
      <c r="I152" s="244">
        <f t="shared" si="256"/>
        <v>0</v>
      </c>
      <c r="J152" s="244">
        <f t="shared" si="257"/>
        <v>0</v>
      </c>
      <c r="K152" s="244" t="str">
        <f t="shared" si="258"/>
        <v/>
      </c>
      <c r="L152" s="244" t="str">
        <f t="shared" si="259"/>
        <v/>
      </c>
      <c r="M152" s="244" t="str">
        <f t="shared" si="260"/>
        <v/>
      </c>
      <c r="N152" s="645">
        <f>IFERROR((H152*L73*100/L74+I152*U73*100/U74+J152*AD73*100/AD74), 0)</f>
        <v>0</v>
      </c>
      <c r="O152" s="645">
        <f t="shared" si="261"/>
        <v>0</v>
      </c>
      <c r="P152" s="645">
        <f t="shared" si="236"/>
        <v>0</v>
      </c>
      <c r="R152" s="656">
        <f t="shared" si="237"/>
        <v>0</v>
      </c>
      <c r="S152" s="226">
        <f t="shared" si="238"/>
        <v>0</v>
      </c>
      <c r="T152" s="144">
        <f t="shared" si="239"/>
        <v>0</v>
      </c>
      <c r="U152" s="226">
        <f t="shared" si="240"/>
        <v>0</v>
      </c>
      <c r="V152" s="144">
        <f t="shared" si="241"/>
        <v>0</v>
      </c>
      <c r="W152" s="226">
        <f t="shared" si="242"/>
        <v>0</v>
      </c>
      <c r="X152" s="144">
        <f t="shared" si="243"/>
        <v>0</v>
      </c>
      <c r="Y152" s="226">
        <f t="shared" si="244"/>
        <v>0</v>
      </c>
      <c r="Z152" s="144">
        <f t="shared" si="245"/>
        <v>0</v>
      </c>
      <c r="AA152" s="226">
        <f t="shared" si="246"/>
        <v>0</v>
      </c>
      <c r="AB152" s="144">
        <f t="shared" si="247"/>
        <v>0</v>
      </c>
      <c r="AC152" s="226">
        <f t="shared" si="248"/>
        <v>0</v>
      </c>
      <c r="AD152" s="144">
        <f t="shared" si="249"/>
        <v>0</v>
      </c>
      <c r="AE152" s="226">
        <f t="shared" si="250"/>
        <v>0</v>
      </c>
      <c r="AF152" s="144">
        <f t="shared" si="251"/>
        <v>0</v>
      </c>
    </row>
    <row r="153" spans="1:32" s="144" customFormat="1">
      <c r="A153" s="172">
        <f>INPUTS!C27</f>
        <v>0</v>
      </c>
      <c r="B153" s="244">
        <f t="shared" si="252"/>
        <v>0</v>
      </c>
      <c r="C153" s="244">
        <f t="shared" si="253"/>
        <v>0</v>
      </c>
      <c r="D153" s="244">
        <f t="shared" si="254"/>
        <v>0</v>
      </c>
      <c r="E153" s="244">
        <f t="shared" si="233"/>
        <v>0</v>
      </c>
      <c r="F153" s="244">
        <f t="shared" si="234"/>
        <v>0</v>
      </c>
      <c r="G153" s="244">
        <f t="shared" si="235"/>
        <v>0</v>
      </c>
      <c r="H153" s="244">
        <f t="shared" si="255"/>
        <v>0</v>
      </c>
      <c r="I153" s="244">
        <f t="shared" si="256"/>
        <v>0</v>
      </c>
      <c r="J153" s="244">
        <f t="shared" si="257"/>
        <v>0</v>
      </c>
      <c r="K153" s="244" t="str">
        <f t="shared" si="258"/>
        <v/>
      </c>
      <c r="L153" s="244" t="str">
        <f t="shared" si="259"/>
        <v/>
      </c>
      <c r="M153" s="244" t="str">
        <f t="shared" si="260"/>
        <v/>
      </c>
      <c r="N153" s="645">
        <f>IFERROR((H153*L80*100/L81+I153*U80*100/U81+J153*AD80*100/AD81), 0)</f>
        <v>0</v>
      </c>
      <c r="O153" s="645">
        <f t="shared" si="261"/>
        <v>0</v>
      </c>
      <c r="P153" s="645">
        <f t="shared" si="236"/>
        <v>0</v>
      </c>
      <c r="R153" s="656">
        <f t="shared" si="237"/>
        <v>0</v>
      </c>
      <c r="S153" s="226">
        <f t="shared" si="238"/>
        <v>14.399999999999999</v>
      </c>
      <c r="T153" s="144">
        <f t="shared" si="239"/>
        <v>0</v>
      </c>
      <c r="U153" s="226">
        <f t="shared" si="240"/>
        <v>1.65</v>
      </c>
      <c r="V153" s="144">
        <f t="shared" si="241"/>
        <v>0</v>
      </c>
      <c r="W153" s="226">
        <f t="shared" si="242"/>
        <v>2.5148999999999999</v>
      </c>
      <c r="X153" s="144">
        <f t="shared" si="243"/>
        <v>0</v>
      </c>
      <c r="Y153" s="226">
        <f t="shared" si="244"/>
        <v>1.21</v>
      </c>
      <c r="Z153" s="144">
        <f t="shared" si="245"/>
        <v>0</v>
      </c>
      <c r="AA153" s="226">
        <f t="shared" si="246"/>
        <v>3.3929999999999998</v>
      </c>
      <c r="AB153" s="144">
        <f t="shared" si="247"/>
        <v>0</v>
      </c>
      <c r="AC153" s="226">
        <f t="shared" si="248"/>
        <v>3.5999999999999996</v>
      </c>
      <c r="AD153" s="144">
        <f t="shared" si="249"/>
        <v>0</v>
      </c>
      <c r="AE153" s="226">
        <f t="shared" si="250"/>
        <v>0</v>
      </c>
      <c r="AF153" s="144">
        <f t="shared" si="251"/>
        <v>0</v>
      </c>
    </row>
    <row r="154" spans="1:32" s="144" customFormat="1">
      <c r="A154" s="172">
        <f>INPUTS!C28</f>
        <v>0</v>
      </c>
      <c r="B154" s="244">
        <f t="shared" si="252"/>
        <v>0</v>
      </c>
      <c r="C154" s="244">
        <f t="shared" si="253"/>
        <v>0</v>
      </c>
      <c r="D154" s="244">
        <f t="shared" si="254"/>
        <v>0</v>
      </c>
      <c r="E154" s="244">
        <f t="shared" si="233"/>
        <v>0</v>
      </c>
      <c r="F154" s="244">
        <f t="shared" si="234"/>
        <v>0</v>
      </c>
      <c r="G154" s="244">
        <f t="shared" si="235"/>
        <v>0</v>
      </c>
      <c r="H154" s="244">
        <f t="shared" si="255"/>
        <v>0</v>
      </c>
      <c r="I154" s="244">
        <f t="shared" si="256"/>
        <v>0</v>
      </c>
      <c r="J154" s="244">
        <f t="shared" si="257"/>
        <v>0</v>
      </c>
      <c r="K154" s="244" t="str">
        <f t="shared" si="258"/>
        <v/>
      </c>
      <c r="L154" s="244" t="str">
        <f t="shared" si="259"/>
        <v/>
      </c>
      <c r="M154" s="244" t="str">
        <f t="shared" si="260"/>
        <v/>
      </c>
      <c r="N154" s="645">
        <f>IFERROR((H154*L87*100/L88+I154*U87*100/U88+J154*AD87*100/AD88), 0)</f>
        <v>0</v>
      </c>
      <c r="O154" s="645">
        <f t="shared" si="261"/>
        <v>0</v>
      </c>
      <c r="P154" s="645">
        <f t="shared" si="236"/>
        <v>0</v>
      </c>
      <c r="R154" s="656">
        <f t="shared" si="237"/>
        <v>0</v>
      </c>
      <c r="S154" s="226">
        <f t="shared" si="238"/>
        <v>0.79859999999999998</v>
      </c>
      <c r="T154" s="144">
        <f t="shared" si="239"/>
        <v>0</v>
      </c>
      <c r="U154" s="226">
        <f t="shared" si="240"/>
        <v>0.65213596800000007</v>
      </c>
      <c r="V154" s="144">
        <f t="shared" si="241"/>
        <v>0</v>
      </c>
      <c r="W154" s="226">
        <f t="shared" si="242"/>
        <v>0.53459999999999996</v>
      </c>
      <c r="X154" s="144">
        <f t="shared" si="243"/>
        <v>0</v>
      </c>
      <c r="Y154" s="226">
        <f t="shared" si="244"/>
        <v>0.5411999999999999</v>
      </c>
      <c r="Z154" s="144">
        <f t="shared" si="245"/>
        <v>0</v>
      </c>
      <c r="AA154" s="226">
        <f t="shared" si="246"/>
        <v>0.45539999999999992</v>
      </c>
      <c r="AB154" s="144">
        <f t="shared" si="247"/>
        <v>0</v>
      </c>
      <c r="AC154" s="226">
        <f t="shared" si="248"/>
        <v>0.32999999999999996</v>
      </c>
      <c r="AD154" s="144">
        <f t="shared" si="249"/>
        <v>0</v>
      </c>
      <c r="AE154" s="226">
        <f t="shared" si="250"/>
        <v>0</v>
      </c>
      <c r="AF154" s="144">
        <f t="shared" si="251"/>
        <v>0</v>
      </c>
    </row>
    <row r="155" spans="1:32" s="144" customFormat="1">
      <c r="A155" s="172">
        <f>INPUTS!C29</f>
        <v>0</v>
      </c>
      <c r="B155" s="244">
        <f t="shared" si="252"/>
        <v>0</v>
      </c>
      <c r="C155" s="244">
        <f t="shared" si="253"/>
        <v>0</v>
      </c>
      <c r="D155" s="244">
        <f t="shared" si="254"/>
        <v>0</v>
      </c>
      <c r="E155" s="244">
        <f t="shared" si="233"/>
        <v>0</v>
      </c>
      <c r="F155" s="244">
        <f t="shared" si="234"/>
        <v>0</v>
      </c>
      <c r="G155" s="244">
        <f t="shared" si="235"/>
        <v>0</v>
      </c>
      <c r="H155" s="244">
        <f t="shared" si="255"/>
        <v>0</v>
      </c>
      <c r="I155" s="244">
        <f t="shared" si="256"/>
        <v>0</v>
      </c>
      <c r="J155" s="244">
        <f t="shared" si="257"/>
        <v>0</v>
      </c>
      <c r="K155" s="244" t="str">
        <f t="shared" si="258"/>
        <v/>
      </c>
      <c r="L155" s="244" t="str">
        <f t="shared" si="259"/>
        <v/>
      </c>
      <c r="M155" s="244" t="str">
        <f t="shared" si="260"/>
        <v/>
      </c>
      <c r="N155" s="645">
        <f>IFERROR((H155*L94*100/L95+I155*U94*100/U95+J155*AD94*100/AD95), 0)</f>
        <v>0</v>
      </c>
      <c r="O155" s="645">
        <f t="shared" si="261"/>
        <v>0</v>
      </c>
      <c r="P155" s="645">
        <f t="shared" si="236"/>
        <v>0</v>
      </c>
      <c r="R155" s="656">
        <f t="shared" si="237"/>
        <v>0</v>
      </c>
      <c r="S155" s="226">
        <f t="shared" si="238"/>
        <v>10.89</v>
      </c>
      <c r="T155" s="144">
        <f t="shared" si="239"/>
        <v>0</v>
      </c>
      <c r="U155" s="226">
        <f t="shared" si="240"/>
        <v>1.4821271999999999</v>
      </c>
      <c r="V155" s="144">
        <f t="shared" si="241"/>
        <v>0</v>
      </c>
      <c r="W155" s="226">
        <f t="shared" si="242"/>
        <v>2.0168999999999997</v>
      </c>
      <c r="X155" s="144">
        <f t="shared" si="243"/>
        <v>0</v>
      </c>
      <c r="Y155" s="226">
        <f t="shared" si="244"/>
        <v>1.8039999999999998</v>
      </c>
      <c r="Z155" s="144">
        <f t="shared" si="245"/>
        <v>0</v>
      </c>
      <c r="AA155" s="226">
        <f t="shared" si="246"/>
        <v>6.0030000000000001</v>
      </c>
      <c r="AB155" s="144">
        <f t="shared" si="247"/>
        <v>0</v>
      </c>
      <c r="AC155" s="226">
        <f t="shared" si="248"/>
        <v>3</v>
      </c>
      <c r="AD155" s="144">
        <f t="shared" si="249"/>
        <v>0</v>
      </c>
      <c r="AE155" s="226">
        <f t="shared" si="250"/>
        <v>0</v>
      </c>
      <c r="AF155" s="144">
        <f t="shared" si="251"/>
        <v>0</v>
      </c>
    </row>
    <row r="156" spans="1:32" s="144" customFormat="1">
      <c r="A156" s="172">
        <f>INPUTS!C30</f>
        <v>0</v>
      </c>
      <c r="B156" s="244">
        <f t="shared" si="252"/>
        <v>0</v>
      </c>
      <c r="C156" s="244">
        <f t="shared" si="253"/>
        <v>0</v>
      </c>
      <c r="D156" s="244">
        <f t="shared" si="254"/>
        <v>0</v>
      </c>
      <c r="E156" s="244">
        <f t="shared" si="233"/>
        <v>0</v>
      </c>
      <c r="F156" s="244">
        <f t="shared" si="234"/>
        <v>0</v>
      </c>
      <c r="G156" s="244">
        <f t="shared" si="235"/>
        <v>0</v>
      </c>
      <c r="H156" s="244">
        <f t="shared" si="255"/>
        <v>0</v>
      </c>
      <c r="I156" s="244">
        <f t="shared" si="256"/>
        <v>0</v>
      </c>
      <c r="J156" s="244">
        <f t="shared" si="257"/>
        <v>0</v>
      </c>
      <c r="K156" s="244" t="str">
        <f t="shared" si="258"/>
        <v/>
      </c>
      <c r="L156" s="244" t="str">
        <f t="shared" si="259"/>
        <v/>
      </c>
      <c r="M156" s="244" t="str">
        <f t="shared" si="260"/>
        <v/>
      </c>
      <c r="N156" s="645">
        <f>IFERROR((H156*L101*100/L102+I156*U101*100/U102+J156*AD101*100/AD102), 0)</f>
        <v>0</v>
      </c>
      <c r="O156" s="645">
        <f t="shared" si="261"/>
        <v>0</v>
      </c>
      <c r="P156" s="645">
        <f t="shared" si="236"/>
        <v>0</v>
      </c>
      <c r="R156" s="656">
        <f t="shared" si="237"/>
        <v>0</v>
      </c>
      <c r="S156" s="226">
        <f t="shared" si="238"/>
        <v>90</v>
      </c>
      <c r="T156" s="144">
        <f t="shared" si="239"/>
        <v>0</v>
      </c>
      <c r="U156" s="226">
        <f t="shared" si="240"/>
        <v>15</v>
      </c>
      <c r="V156" s="144">
        <f t="shared" si="241"/>
        <v>0</v>
      </c>
      <c r="W156" s="226">
        <f t="shared" si="242"/>
        <v>24.9</v>
      </c>
      <c r="X156" s="144">
        <f t="shared" si="243"/>
        <v>0</v>
      </c>
      <c r="Y156" s="226">
        <f t="shared" si="244"/>
        <v>22</v>
      </c>
      <c r="Z156" s="144">
        <f t="shared" si="245"/>
        <v>0</v>
      </c>
      <c r="AA156" s="226">
        <f t="shared" si="246"/>
        <v>87</v>
      </c>
      <c r="AB156" s="144">
        <f t="shared" si="247"/>
        <v>0</v>
      </c>
      <c r="AC156" s="226">
        <f t="shared" si="248"/>
        <v>60</v>
      </c>
      <c r="AD156" s="144">
        <f t="shared" si="249"/>
        <v>0</v>
      </c>
      <c r="AE156" s="226">
        <f t="shared" si="250"/>
        <v>0</v>
      </c>
      <c r="AF156" s="144">
        <f t="shared" si="251"/>
        <v>0</v>
      </c>
    </row>
    <row r="157" spans="1:32" s="144" customFormat="1">
      <c r="D157" s="452"/>
      <c r="O157" s="644">
        <f>SUM(O143:O156)</f>
        <v>0</v>
      </c>
      <c r="R157" s="644">
        <f>SUM(R143:R156)</f>
        <v>16017.479384188666</v>
      </c>
      <c r="S157" s="227"/>
      <c r="V157" s="489"/>
      <c r="AB157" s="225"/>
    </row>
    <row r="158" spans="1:32" s="144" customFormat="1">
      <c r="O158" s="226"/>
      <c r="S158" s="227"/>
      <c r="V158" s="489"/>
      <c r="AB158" s="225"/>
    </row>
    <row r="159" spans="1:32" s="144" customFormat="1">
      <c r="A159" s="322" t="s">
        <v>1152</v>
      </c>
      <c r="B159" s="322"/>
      <c r="C159" s="322"/>
      <c r="D159" s="322"/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2"/>
      <c r="P159" s="322"/>
      <c r="Q159" s="322"/>
      <c r="R159" s="322"/>
      <c r="S159" s="322"/>
      <c r="T159" s="322"/>
      <c r="U159" s="322"/>
      <c r="V159" s="493"/>
      <c r="W159" s="322"/>
      <c r="X159" s="322"/>
      <c r="Y159" s="322"/>
      <c r="Z159" s="322"/>
      <c r="AA159" s="322"/>
      <c r="AB159" s="322"/>
      <c r="AC159" s="322"/>
      <c r="AD159" s="322"/>
      <c r="AE159" s="322"/>
      <c r="AF159" s="322"/>
    </row>
    <row r="160" spans="1:32" s="144" customFormat="1" ht="141.75">
      <c r="A160" s="13"/>
      <c r="B160" s="417" t="s">
        <v>999</v>
      </c>
      <c r="C160" s="417" t="s">
        <v>1000</v>
      </c>
      <c r="D160" s="417" t="s">
        <v>1848</v>
      </c>
      <c r="E160" s="417" t="s">
        <v>1164</v>
      </c>
      <c r="F160" s="417" t="s">
        <v>1556</v>
      </c>
      <c r="G160" s="633" t="s">
        <v>1290</v>
      </c>
      <c r="H160" s="633" t="s">
        <v>1291</v>
      </c>
      <c r="I160" s="633" t="s">
        <v>1292</v>
      </c>
      <c r="J160" s="633" t="s">
        <v>1293</v>
      </c>
      <c r="K160" s="633" t="s">
        <v>1294</v>
      </c>
      <c r="L160" s="633" t="s">
        <v>1555</v>
      </c>
      <c r="M160" s="633" t="s">
        <v>1295</v>
      </c>
      <c r="N160" s="633" t="s">
        <v>1296</v>
      </c>
      <c r="O160" s="418" t="s">
        <v>1557</v>
      </c>
      <c r="P160" s="151" t="s">
        <v>1297</v>
      </c>
      <c r="Q160" s="418" t="s">
        <v>1298</v>
      </c>
      <c r="R160" s="151" t="s">
        <v>1299</v>
      </c>
      <c r="S160" s="418" t="s">
        <v>1558</v>
      </c>
      <c r="T160" s="151" t="s">
        <v>1300</v>
      </c>
      <c r="V160" s="489"/>
    </row>
    <row r="161" spans="1:28" s="144" customFormat="1">
      <c r="A161" s="13" t="str">
        <f>INPUTS!C17</f>
        <v>Cows (improved)</v>
      </c>
      <c r="B161" s="553">
        <f>MAX(B143,E143)</f>
        <v>3812.9366476705136</v>
      </c>
      <c r="C161" s="553">
        <f>MAX(C143,F143)</f>
        <v>3671.8438969555073</v>
      </c>
      <c r="D161" s="553">
        <f>MAX(D143,G143)</f>
        <v>0</v>
      </c>
      <c r="E161" s="560">
        <f>IF(B161+C161+D161 = 0, 0, IFERROR(((B161+C161+D161)/365)*0.365,""))</f>
        <v>7.4847805446260205</v>
      </c>
      <c r="F161" s="421">
        <f>IFERROR(E161*365,"")</f>
        <v>2731.9448987884975</v>
      </c>
      <c r="G161" s="634">
        <f>INPUTS!H17</f>
        <v>1</v>
      </c>
      <c r="H161" s="634">
        <f>INPUTS!I17</f>
        <v>0</v>
      </c>
      <c r="I161" s="634">
        <f>INPUTS!J17</f>
        <v>0</v>
      </c>
      <c r="J161" s="634">
        <f>INPUTS!K17</f>
        <v>0</v>
      </c>
      <c r="K161" s="634">
        <f>INPUTS!M17</f>
        <v>1</v>
      </c>
      <c r="L161" s="634">
        <f>INPUTS!N17</f>
        <v>0</v>
      </c>
      <c r="M161" s="634">
        <f>INPUTS!O17</f>
        <v>0</v>
      </c>
      <c r="N161" s="634">
        <f>INPUTS!Q17</f>
        <v>0</v>
      </c>
      <c r="O161" s="635">
        <f>F161*I161 - F161*I161*M161</f>
        <v>0</v>
      </c>
      <c r="P161" s="636">
        <f>O161*'Livestock parameters'!AD2</f>
        <v>0</v>
      </c>
      <c r="Q161" s="635">
        <f>F161*(G161*K161+H161*L161+I161*M161)*N161</f>
        <v>0</v>
      </c>
      <c r="R161" s="636">
        <f>Q161*'Livestock parameters'!AD2</f>
        <v>0</v>
      </c>
      <c r="S161" s="635">
        <f>P161+R161</f>
        <v>0</v>
      </c>
      <c r="T161" s="636"/>
      <c r="V161" s="489"/>
    </row>
    <row r="162" spans="1:28" s="144" customFormat="1">
      <c r="A162" s="13" t="str">
        <f>INPUTS!C18</f>
        <v>Steers/heifers</v>
      </c>
      <c r="B162" s="553">
        <f t="shared" ref="B162:B174" si="262">MAX(B144,E144)</f>
        <v>4642.1321354675629</v>
      </c>
      <c r="C162" s="553">
        <f t="shared" ref="C162:C174" si="263">MAX(C144,F144)</f>
        <v>3890.5667040950816</v>
      </c>
      <c r="D162" s="553">
        <f t="shared" ref="D162:D174" si="264">MAX(D144,G144)</f>
        <v>0</v>
      </c>
      <c r="E162" s="560">
        <f t="shared" ref="E162:E174" si="265">IF(B162+C162+D162 = 0, 0, IFERROR(((B162+C162+D162)/365)*0.365,""))</f>
        <v>8.5326988395626451</v>
      </c>
      <c r="F162" s="421">
        <f t="shared" ref="F162:F174" si="266">IFERROR(E162*365,"")</f>
        <v>3114.4350764403653</v>
      </c>
      <c r="G162" s="634">
        <f>INPUTS!H18</f>
        <v>1</v>
      </c>
      <c r="H162" s="634">
        <f>INPUTS!I18</f>
        <v>0</v>
      </c>
      <c r="I162" s="634">
        <f>INPUTS!J18</f>
        <v>0</v>
      </c>
      <c r="J162" s="634">
        <f>INPUTS!K18</f>
        <v>0</v>
      </c>
      <c r="K162" s="634">
        <f>INPUTS!M18</f>
        <v>1</v>
      </c>
      <c r="L162" s="634">
        <f>INPUTS!N18</f>
        <v>0</v>
      </c>
      <c r="M162" s="634">
        <f>INPUTS!O18</f>
        <v>0</v>
      </c>
      <c r="N162" s="634">
        <f>INPUTS!Q18</f>
        <v>0.9</v>
      </c>
      <c r="O162" s="635">
        <f t="shared" ref="O162:O169" si="267">F162*I162 - F162*I162*M162</f>
        <v>0</v>
      </c>
      <c r="P162" s="636">
        <f>O162*'Livestock parameters'!AD3</f>
        <v>0</v>
      </c>
      <c r="Q162" s="635">
        <f t="shared" ref="Q162:Q169" si="268">F162*(G162*K162+H162*L162+I162*M162)*N162</f>
        <v>2802.9915687963289</v>
      </c>
      <c r="R162" s="636">
        <f>Q162*'Livestock parameters'!AD3</f>
        <v>81.286755495093544</v>
      </c>
      <c r="S162" s="635">
        <f t="shared" ref="S162:S169" si="269">P162+R162</f>
        <v>81.286755495093544</v>
      </c>
      <c r="T162" s="636"/>
      <c r="V162" s="489"/>
    </row>
    <row r="163" spans="1:28" s="144" customFormat="1">
      <c r="A163" s="13">
        <f>INPUTS!C19</f>
        <v>0</v>
      </c>
      <c r="B163" s="553">
        <f t="shared" si="262"/>
        <v>0</v>
      </c>
      <c r="C163" s="553">
        <f t="shared" si="263"/>
        <v>0</v>
      </c>
      <c r="D163" s="553">
        <f t="shared" si="264"/>
        <v>0</v>
      </c>
      <c r="E163" s="560">
        <f t="shared" si="265"/>
        <v>0</v>
      </c>
      <c r="F163" s="421">
        <f t="shared" si="266"/>
        <v>0</v>
      </c>
      <c r="G163" s="634">
        <f>INPUTS!H19</f>
        <v>0</v>
      </c>
      <c r="H163" s="634">
        <f>INPUTS!I19</f>
        <v>0</v>
      </c>
      <c r="I163" s="634">
        <f>INPUTS!J19</f>
        <v>0</v>
      </c>
      <c r="J163" s="634">
        <f>INPUTS!K19</f>
        <v>0</v>
      </c>
      <c r="K163" s="634">
        <f>INPUTS!M19</f>
        <v>0</v>
      </c>
      <c r="L163" s="634">
        <f>INPUTS!N19</f>
        <v>0</v>
      </c>
      <c r="M163" s="634">
        <f>INPUTS!O19</f>
        <v>0</v>
      </c>
      <c r="N163" s="634">
        <f>INPUTS!Q19</f>
        <v>0</v>
      </c>
      <c r="O163" s="635">
        <f t="shared" si="267"/>
        <v>0</v>
      </c>
      <c r="P163" s="636">
        <f>O163*'Livestock parameters'!AD4</f>
        <v>0</v>
      </c>
      <c r="Q163" s="635">
        <f t="shared" si="268"/>
        <v>0</v>
      </c>
      <c r="R163" s="636">
        <f>Q163*'Livestock parameters'!AD4</f>
        <v>0</v>
      </c>
      <c r="S163" s="635">
        <f t="shared" si="269"/>
        <v>0</v>
      </c>
      <c r="T163" s="636"/>
      <c r="V163" s="489"/>
    </row>
    <row r="164" spans="1:28" s="144" customFormat="1">
      <c r="A164" s="13">
        <f>INPUTS!C20</f>
        <v>0</v>
      </c>
      <c r="B164" s="553">
        <f t="shared" si="262"/>
        <v>0</v>
      </c>
      <c r="C164" s="553">
        <f t="shared" si="263"/>
        <v>0</v>
      </c>
      <c r="D164" s="553">
        <f t="shared" si="264"/>
        <v>0</v>
      </c>
      <c r="E164" s="560">
        <f t="shared" si="265"/>
        <v>0</v>
      </c>
      <c r="F164" s="421">
        <f t="shared" si="266"/>
        <v>0</v>
      </c>
      <c r="G164" s="634">
        <f>INPUTS!H20</f>
        <v>0</v>
      </c>
      <c r="H164" s="634">
        <f>INPUTS!I20</f>
        <v>0</v>
      </c>
      <c r="I164" s="634">
        <f>INPUTS!J20</f>
        <v>0</v>
      </c>
      <c r="J164" s="634">
        <f>INPUTS!K20</f>
        <v>0</v>
      </c>
      <c r="K164" s="634">
        <f>INPUTS!M20</f>
        <v>0</v>
      </c>
      <c r="L164" s="634">
        <f>INPUTS!N20</f>
        <v>0</v>
      </c>
      <c r="M164" s="634">
        <f>INPUTS!O20</f>
        <v>0</v>
      </c>
      <c r="N164" s="634">
        <f>INPUTS!Q20</f>
        <v>0</v>
      </c>
      <c r="O164" s="635">
        <f t="shared" si="267"/>
        <v>0</v>
      </c>
      <c r="P164" s="636">
        <f>O164*'Livestock parameters'!AD5</f>
        <v>0</v>
      </c>
      <c r="Q164" s="635">
        <f t="shared" si="268"/>
        <v>0</v>
      </c>
      <c r="R164" s="636">
        <f>Q164*'Livestock parameters'!AD5</f>
        <v>0</v>
      </c>
      <c r="S164" s="635">
        <f t="shared" si="269"/>
        <v>0</v>
      </c>
      <c r="T164" s="636"/>
      <c r="V164" s="489"/>
    </row>
    <row r="165" spans="1:28" s="144" customFormat="1">
      <c r="A165" s="13">
        <f>INPUTS!C21</f>
        <v>0</v>
      </c>
      <c r="B165" s="553">
        <f t="shared" si="262"/>
        <v>0</v>
      </c>
      <c r="C165" s="553">
        <f t="shared" si="263"/>
        <v>0</v>
      </c>
      <c r="D165" s="553">
        <f t="shared" si="264"/>
        <v>0</v>
      </c>
      <c r="E165" s="560">
        <f t="shared" si="265"/>
        <v>0</v>
      </c>
      <c r="F165" s="421">
        <f t="shared" si="266"/>
        <v>0</v>
      </c>
      <c r="G165" s="634">
        <f>INPUTS!H21</f>
        <v>0</v>
      </c>
      <c r="H165" s="634">
        <f>INPUTS!I21</f>
        <v>0</v>
      </c>
      <c r="I165" s="634">
        <f>INPUTS!J21</f>
        <v>0</v>
      </c>
      <c r="J165" s="634">
        <f>INPUTS!K21</f>
        <v>0</v>
      </c>
      <c r="K165" s="634">
        <f>INPUTS!M21</f>
        <v>0</v>
      </c>
      <c r="L165" s="634">
        <f>INPUTS!N21</f>
        <v>0</v>
      </c>
      <c r="M165" s="634">
        <f>INPUTS!O21</f>
        <v>0</v>
      </c>
      <c r="N165" s="634">
        <f>INPUTS!Q21</f>
        <v>0</v>
      </c>
      <c r="O165" s="635">
        <f t="shared" si="267"/>
        <v>0</v>
      </c>
      <c r="P165" s="636">
        <f>O165*'Livestock parameters'!AD6</f>
        <v>0</v>
      </c>
      <c r="Q165" s="635">
        <f t="shared" si="268"/>
        <v>0</v>
      </c>
      <c r="R165" s="636">
        <f>Q165*'Livestock parameters'!AD6</f>
        <v>0</v>
      </c>
      <c r="S165" s="635">
        <f t="shared" si="269"/>
        <v>0</v>
      </c>
      <c r="T165" s="636"/>
      <c r="V165" s="489"/>
    </row>
    <row r="166" spans="1:28" s="144" customFormat="1">
      <c r="A166" s="13">
        <f>INPUTS!C22</f>
        <v>0</v>
      </c>
      <c r="B166" s="553">
        <f t="shared" si="262"/>
        <v>0</v>
      </c>
      <c r="C166" s="553">
        <f t="shared" si="263"/>
        <v>0</v>
      </c>
      <c r="D166" s="553">
        <f t="shared" si="264"/>
        <v>0</v>
      </c>
      <c r="E166" s="560">
        <f t="shared" si="265"/>
        <v>0</v>
      </c>
      <c r="F166" s="421">
        <f t="shared" si="266"/>
        <v>0</v>
      </c>
      <c r="G166" s="634">
        <f>INPUTS!H22</f>
        <v>0</v>
      </c>
      <c r="H166" s="634">
        <f>INPUTS!I22</f>
        <v>0</v>
      </c>
      <c r="I166" s="634">
        <f>INPUTS!J22</f>
        <v>0</v>
      </c>
      <c r="J166" s="634">
        <f>INPUTS!K22</f>
        <v>0</v>
      </c>
      <c r="K166" s="634">
        <f>INPUTS!M22</f>
        <v>0</v>
      </c>
      <c r="L166" s="634">
        <f>INPUTS!N22</f>
        <v>0</v>
      </c>
      <c r="M166" s="634">
        <f>INPUTS!O22</f>
        <v>0</v>
      </c>
      <c r="N166" s="634">
        <f>INPUTS!Q22</f>
        <v>0</v>
      </c>
      <c r="O166" s="635">
        <f t="shared" si="267"/>
        <v>0</v>
      </c>
      <c r="P166" s="636">
        <f>O166*'Livestock parameters'!AD7</f>
        <v>0</v>
      </c>
      <c r="Q166" s="635">
        <f t="shared" si="268"/>
        <v>0</v>
      </c>
      <c r="R166" s="636">
        <f>Q166*'Livestock parameters'!AD7</f>
        <v>0</v>
      </c>
      <c r="S166" s="635">
        <f t="shared" si="269"/>
        <v>0</v>
      </c>
      <c r="T166" s="636"/>
      <c r="V166" s="489"/>
    </row>
    <row r="167" spans="1:28" s="144" customFormat="1">
      <c r="A167" s="13">
        <f>INPUTS!C23</f>
        <v>0</v>
      </c>
      <c r="B167" s="553">
        <f t="shared" si="262"/>
        <v>0</v>
      </c>
      <c r="C167" s="553">
        <f t="shared" si="263"/>
        <v>0</v>
      </c>
      <c r="D167" s="553">
        <f t="shared" si="264"/>
        <v>0</v>
      </c>
      <c r="E167" s="560">
        <f t="shared" si="265"/>
        <v>0</v>
      </c>
      <c r="F167" s="421">
        <f t="shared" si="266"/>
        <v>0</v>
      </c>
      <c r="G167" s="634">
        <f>INPUTS!H23</f>
        <v>0</v>
      </c>
      <c r="H167" s="634">
        <f>INPUTS!I23</f>
        <v>0</v>
      </c>
      <c r="I167" s="634">
        <f>INPUTS!J23</f>
        <v>0</v>
      </c>
      <c r="J167" s="634">
        <f>INPUTS!K23</f>
        <v>0</v>
      </c>
      <c r="K167" s="634">
        <f>INPUTS!M23</f>
        <v>0</v>
      </c>
      <c r="L167" s="634">
        <f>INPUTS!N23</f>
        <v>0</v>
      </c>
      <c r="M167" s="634">
        <f>INPUTS!O23</f>
        <v>0</v>
      </c>
      <c r="N167" s="634">
        <f>INPUTS!Q23</f>
        <v>0</v>
      </c>
      <c r="O167" s="635">
        <f t="shared" si="267"/>
        <v>0</v>
      </c>
      <c r="P167" s="636">
        <f>O167*'Livestock parameters'!AD8</f>
        <v>0</v>
      </c>
      <c r="Q167" s="635">
        <f t="shared" si="268"/>
        <v>0</v>
      </c>
      <c r="R167" s="636">
        <f>Q167*'Livestock parameters'!AD8</f>
        <v>0</v>
      </c>
      <c r="S167" s="635">
        <f t="shared" si="269"/>
        <v>0</v>
      </c>
      <c r="T167" s="636"/>
      <c r="V167" s="489"/>
    </row>
    <row r="168" spans="1:28" s="144" customFormat="1">
      <c r="A168" s="13">
        <f>INPUTS!C24</f>
        <v>0</v>
      </c>
      <c r="B168" s="553">
        <f t="shared" si="262"/>
        <v>0</v>
      </c>
      <c r="C168" s="553">
        <f t="shared" si="263"/>
        <v>0</v>
      </c>
      <c r="D168" s="553">
        <f t="shared" si="264"/>
        <v>0</v>
      </c>
      <c r="E168" s="560">
        <f t="shared" si="265"/>
        <v>0</v>
      </c>
      <c r="F168" s="421">
        <f t="shared" si="266"/>
        <v>0</v>
      </c>
      <c r="G168" s="634">
        <f>INPUTS!H24</f>
        <v>0</v>
      </c>
      <c r="H168" s="634">
        <f>INPUTS!I24</f>
        <v>0</v>
      </c>
      <c r="I168" s="634">
        <f>INPUTS!J24</f>
        <v>0</v>
      </c>
      <c r="J168" s="634">
        <f>INPUTS!K24</f>
        <v>0</v>
      </c>
      <c r="K168" s="634">
        <f>INPUTS!M24</f>
        <v>0</v>
      </c>
      <c r="L168" s="634">
        <f>INPUTS!N24</f>
        <v>0</v>
      </c>
      <c r="M168" s="634">
        <f>INPUTS!O24</f>
        <v>0</v>
      </c>
      <c r="N168" s="634">
        <f>INPUTS!Q24</f>
        <v>0</v>
      </c>
      <c r="O168" s="635">
        <f t="shared" si="267"/>
        <v>0</v>
      </c>
      <c r="P168" s="636">
        <f>O168*'Livestock parameters'!AD9</f>
        <v>0</v>
      </c>
      <c r="Q168" s="635">
        <f t="shared" si="268"/>
        <v>0</v>
      </c>
      <c r="R168" s="636">
        <f>Q168*'Livestock parameters'!AD9</f>
        <v>0</v>
      </c>
      <c r="S168" s="635">
        <f t="shared" si="269"/>
        <v>0</v>
      </c>
      <c r="T168" s="636"/>
      <c r="V168" s="489"/>
    </row>
    <row r="169" spans="1:28" s="144" customFormat="1">
      <c r="A169" s="13">
        <f>INPUTS!C25</f>
        <v>0</v>
      </c>
      <c r="B169" s="553">
        <f t="shared" si="262"/>
        <v>0</v>
      </c>
      <c r="C169" s="553">
        <f t="shared" si="263"/>
        <v>0</v>
      </c>
      <c r="D169" s="553">
        <f t="shared" si="264"/>
        <v>0</v>
      </c>
      <c r="E169" s="560">
        <f t="shared" si="265"/>
        <v>0</v>
      </c>
      <c r="F169" s="421">
        <f t="shared" si="266"/>
        <v>0</v>
      </c>
      <c r="G169" s="634">
        <f>INPUTS!H25</f>
        <v>0</v>
      </c>
      <c r="H169" s="634">
        <f>INPUTS!I25</f>
        <v>0</v>
      </c>
      <c r="I169" s="634">
        <f>INPUTS!J25</f>
        <v>0</v>
      </c>
      <c r="J169" s="634">
        <f>INPUTS!K25</f>
        <v>0</v>
      </c>
      <c r="K169" s="634">
        <f>INPUTS!M25</f>
        <v>0</v>
      </c>
      <c r="L169" s="634">
        <f>INPUTS!N25</f>
        <v>0</v>
      </c>
      <c r="M169" s="634">
        <f>INPUTS!O25</f>
        <v>0</v>
      </c>
      <c r="N169" s="634">
        <f>INPUTS!Q25</f>
        <v>0</v>
      </c>
      <c r="O169" s="635">
        <f t="shared" si="267"/>
        <v>0</v>
      </c>
      <c r="P169" s="636">
        <f>O169*'Livestock parameters'!AD10</f>
        <v>0</v>
      </c>
      <c r="Q169" s="635">
        <f t="shared" si="268"/>
        <v>0</v>
      </c>
      <c r="R169" s="636">
        <f>Q169*'Livestock parameters'!AD10</f>
        <v>0</v>
      </c>
      <c r="S169" s="635">
        <f t="shared" si="269"/>
        <v>0</v>
      </c>
      <c r="T169" s="636"/>
      <c r="V169" s="489"/>
    </row>
    <row r="170" spans="1:28" s="144" customFormat="1">
      <c r="A170" s="13">
        <f>INPUTS!C26</f>
        <v>0</v>
      </c>
      <c r="B170" s="553">
        <f t="shared" si="262"/>
        <v>0</v>
      </c>
      <c r="C170" s="553">
        <f t="shared" si="263"/>
        <v>0</v>
      </c>
      <c r="D170" s="553">
        <f t="shared" si="264"/>
        <v>0</v>
      </c>
      <c r="E170" s="560">
        <f t="shared" si="265"/>
        <v>0</v>
      </c>
      <c r="F170" s="421">
        <f t="shared" si="266"/>
        <v>0</v>
      </c>
      <c r="G170" s="634">
        <f>INPUTS!H26</f>
        <v>0</v>
      </c>
      <c r="H170" s="634">
        <f>INPUTS!I26</f>
        <v>0</v>
      </c>
      <c r="I170" s="634">
        <f>INPUTS!J26</f>
        <v>0</v>
      </c>
      <c r="J170" s="634">
        <f>INPUTS!K26</f>
        <v>0</v>
      </c>
      <c r="K170" s="634">
        <f>INPUTS!M26</f>
        <v>0</v>
      </c>
      <c r="L170" s="634">
        <f>INPUTS!N26</f>
        <v>0</v>
      </c>
      <c r="M170" s="634">
        <f>INPUTS!O26</f>
        <v>0</v>
      </c>
      <c r="N170" s="634">
        <f>INPUTS!Q26</f>
        <v>0</v>
      </c>
      <c r="O170" s="635">
        <f t="shared" ref="O170:O174" si="270">F170*I170 - F170*I170*M170</f>
        <v>0</v>
      </c>
      <c r="P170" s="636">
        <f>O170*'Livestock parameters'!AD11</f>
        <v>0</v>
      </c>
      <c r="Q170" s="635">
        <f t="shared" ref="Q170:Q174" si="271">F170*(G170*K170+H170*L170+I170*M170)*N170</f>
        <v>0</v>
      </c>
      <c r="R170" s="636">
        <f>Q170*'Livestock parameters'!AD11</f>
        <v>0</v>
      </c>
      <c r="S170" s="635">
        <f t="shared" ref="S170:S174" si="272">P170+R170</f>
        <v>0</v>
      </c>
      <c r="T170" s="636"/>
      <c r="V170" s="489"/>
    </row>
    <row r="171" spans="1:28" s="144" customFormat="1">
      <c r="A171" s="13">
        <f>INPUTS!C27</f>
        <v>0</v>
      </c>
      <c r="B171" s="553">
        <f t="shared" si="262"/>
        <v>0</v>
      </c>
      <c r="C171" s="553">
        <f t="shared" si="263"/>
        <v>0</v>
      </c>
      <c r="D171" s="553">
        <f t="shared" si="264"/>
        <v>0</v>
      </c>
      <c r="E171" s="560">
        <f t="shared" si="265"/>
        <v>0</v>
      </c>
      <c r="F171" s="421">
        <f t="shared" si="266"/>
        <v>0</v>
      </c>
      <c r="G171" s="634">
        <f>INPUTS!H27</f>
        <v>0</v>
      </c>
      <c r="H171" s="634">
        <f>INPUTS!I27</f>
        <v>0</v>
      </c>
      <c r="I171" s="634">
        <f>INPUTS!J27</f>
        <v>0</v>
      </c>
      <c r="J171" s="634">
        <f>INPUTS!K27</f>
        <v>0</v>
      </c>
      <c r="K171" s="634">
        <f>INPUTS!M27</f>
        <v>0</v>
      </c>
      <c r="L171" s="634">
        <f>INPUTS!N27</f>
        <v>0</v>
      </c>
      <c r="M171" s="634">
        <f>INPUTS!O27</f>
        <v>0</v>
      </c>
      <c r="N171" s="634">
        <f>INPUTS!Q27</f>
        <v>0</v>
      </c>
      <c r="O171" s="635">
        <f t="shared" si="270"/>
        <v>0</v>
      </c>
      <c r="P171" s="636">
        <f>O171*'Livestock parameters'!AD12</f>
        <v>0</v>
      </c>
      <c r="Q171" s="635">
        <f t="shared" si="271"/>
        <v>0</v>
      </c>
      <c r="R171" s="636">
        <f>Q171*'Livestock parameters'!AD12</f>
        <v>0</v>
      </c>
      <c r="S171" s="635">
        <f t="shared" si="272"/>
        <v>0</v>
      </c>
      <c r="T171" s="636"/>
      <c r="V171" s="489"/>
    </row>
    <row r="172" spans="1:28" s="144" customFormat="1">
      <c r="A172" s="13">
        <f>INPUTS!C28</f>
        <v>0</v>
      </c>
      <c r="B172" s="553">
        <f t="shared" si="262"/>
        <v>0</v>
      </c>
      <c r="C172" s="553">
        <f t="shared" si="263"/>
        <v>0</v>
      </c>
      <c r="D172" s="553">
        <f t="shared" si="264"/>
        <v>0</v>
      </c>
      <c r="E172" s="560">
        <f t="shared" si="265"/>
        <v>0</v>
      </c>
      <c r="F172" s="421">
        <f t="shared" si="266"/>
        <v>0</v>
      </c>
      <c r="G172" s="634">
        <f>INPUTS!H28</f>
        <v>0</v>
      </c>
      <c r="H172" s="634">
        <f>INPUTS!I28</f>
        <v>0</v>
      </c>
      <c r="I172" s="634">
        <f>INPUTS!J28</f>
        <v>0</v>
      </c>
      <c r="J172" s="634">
        <f>INPUTS!K28</f>
        <v>0</v>
      </c>
      <c r="K172" s="634">
        <f>INPUTS!M28</f>
        <v>0</v>
      </c>
      <c r="L172" s="634">
        <f>INPUTS!N28</f>
        <v>0</v>
      </c>
      <c r="M172" s="634">
        <f>INPUTS!O28</f>
        <v>0</v>
      </c>
      <c r="N172" s="634">
        <f>INPUTS!Q28</f>
        <v>0</v>
      </c>
      <c r="O172" s="635">
        <f t="shared" si="270"/>
        <v>0</v>
      </c>
      <c r="P172" s="636">
        <f>O172*'Livestock parameters'!AD13</f>
        <v>0</v>
      </c>
      <c r="Q172" s="635">
        <f t="shared" si="271"/>
        <v>0</v>
      </c>
      <c r="R172" s="636">
        <f>Q172*'Livestock parameters'!AD13</f>
        <v>0</v>
      </c>
      <c r="S172" s="635">
        <f t="shared" si="272"/>
        <v>0</v>
      </c>
      <c r="T172" s="636"/>
      <c r="V172" s="489"/>
    </row>
    <row r="173" spans="1:28" s="144" customFormat="1">
      <c r="A173" s="13">
        <f>INPUTS!C29</f>
        <v>0</v>
      </c>
      <c r="B173" s="553">
        <f t="shared" si="262"/>
        <v>0</v>
      </c>
      <c r="C173" s="553">
        <f t="shared" si="263"/>
        <v>0</v>
      </c>
      <c r="D173" s="553">
        <f t="shared" si="264"/>
        <v>0</v>
      </c>
      <c r="E173" s="560">
        <f t="shared" si="265"/>
        <v>0</v>
      </c>
      <c r="F173" s="421">
        <f t="shared" si="266"/>
        <v>0</v>
      </c>
      <c r="G173" s="634">
        <f>INPUTS!H29</f>
        <v>0</v>
      </c>
      <c r="H173" s="634">
        <f>INPUTS!I29</f>
        <v>0</v>
      </c>
      <c r="I173" s="634">
        <f>INPUTS!J29</f>
        <v>0</v>
      </c>
      <c r="J173" s="634">
        <f>INPUTS!K29</f>
        <v>0</v>
      </c>
      <c r="K173" s="634">
        <f>INPUTS!M29</f>
        <v>0</v>
      </c>
      <c r="L173" s="634">
        <f>INPUTS!N29</f>
        <v>0</v>
      </c>
      <c r="M173" s="634">
        <f>INPUTS!O29</f>
        <v>0</v>
      </c>
      <c r="N173" s="634">
        <f>INPUTS!Q29</f>
        <v>0</v>
      </c>
      <c r="O173" s="635">
        <f t="shared" si="270"/>
        <v>0</v>
      </c>
      <c r="P173" s="636">
        <f>O173*'Livestock parameters'!AD14</f>
        <v>0</v>
      </c>
      <c r="Q173" s="635">
        <f t="shared" si="271"/>
        <v>0</v>
      </c>
      <c r="R173" s="636">
        <f>Q173*'Livestock parameters'!AD14</f>
        <v>0</v>
      </c>
      <c r="S173" s="635">
        <f t="shared" si="272"/>
        <v>0</v>
      </c>
      <c r="T173" s="636"/>
      <c r="V173" s="489"/>
    </row>
    <row r="174" spans="1:28" s="144" customFormat="1">
      <c r="A174" s="13">
        <f>INPUTS!C30</f>
        <v>0</v>
      </c>
      <c r="B174" s="553">
        <f t="shared" si="262"/>
        <v>0</v>
      </c>
      <c r="C174" s="553">
        <f t="shared" si="263"/>
        <v>0</v>
      </c>
      <c r="D174" s="553">
        <f t="shared" si="264"/>
        <v>0</v>
      </c>
      <c r="E174" s="560">
        <f t="shared" si="265"/>
        <v>0</v>
      </c>
      <c r="F174" s="421">
        <f t="shared" si="266"/>
        <v>0</v>
      </c>
      <c r="G174" s="634">
        <f>INPUTS!H30</f>
        <v>0</v>
      </c>
      <c r="H174" s="634">
        <f>INPUTS!I30</f>
        <v>0</v>
      </c>
      <c r="I174" s="634">
        <f>INPUTS!J30</f>
        <v>0</v>
      </c>
      <c r="J174" s="634">
        <f>INPUTS!K30</f>
        <v>0</v>
      </c>
      <c r="K174" s="634">
        <f>INPUTS!M30</f>
        <v>0</v>
      </c>
      <c r="L174" s="634">
        <f>INPUTS!N30</f>
        <v>0</v>
      </c>
      <c r="M174" s="634">
        <f>INPUTS!O30</f>
        <v>0</v>
      </c>
      <c r="N174" s="634">
        <f>INPUTS!Q30</f>
        <v>0</v>
      </c>
      <c r="O174" s="635">
        <f t="shared" si="270"/>
        <v>0</v>
      </c>
      <c r="P174" s="636">
        <f>O174*'Livestock parameters'!AD15</f>
        <v>0</v>
      </c>
      <c r="Q174" s="635">
        <f t="shared" si="271"/>
        <v>0</v>
      </c>
      <c r="R174" s="636">
        <f>Q174*'Livestock parameters'!AD15</f>
        <v>0</v>
      </c>
      <c r="S174" s="635">
        <f t="shared" si="272"/>
        <v>0</v>
      </c>
      <c r="T174" s="636"/>
      <c r="V174" s="489"/>
    </row>
    <row r="175" spans="1:28" s="144" customFormat="1">
      <c r="F175" s="524">
        <f>SUM(F161:F174)</f>
        <v>5846.3799752288633</v>
      </c>
      <c r="O175" s="524">
        <f t="shared" ref="O175:T175" si="273">SUM(O161:O174)</f>
        <v>0</v>
      </c>
      <c r="P175" s="524">
        <f t="shared" si="273"/>
        <v>0</v>
      </c>
      <c r="Q175" s="524">
        <f t="shared" si="273"/>
        <v>2802.9915687963289</v>
      </c>
      <c r="R175" s="524">
        <f t="shared" si="273"/>
        <v>81.286755495093544</v>
      </c>
      <c r="S175" s="524">
        <f t="shared" si="273"/>
        <v>81.286755495093544</v>
      </c>
      <c r="T175" s="524">
        <f t="shared" si="273"/>
        <v>0</v>
      </c>
      <c r="V175" s="489"/>
      <c r="X175" s="225"/>
    </row>
    <row r="176" spans="1:28" s="144" customFormat="1">
      <c r="O176" s="226"/>
      <c r="S176" s="227"/>
      <c r="V176" s="489"/>
      <c r="AB176" s="225"/>
    </row>
    <row r="177" spans="15:28" s="144" customFormat="1">
      <c r="O177" s="226"/>
      <c r="S177" s="227"/>
      <c r="V177" s="489"/>
      <c r="AB177" s="225"/>
    </row>
    <row r="178" spans="15:28" s="144" customFormat="1">
      <c r="O178" s="226"/>
      <c r="S178" s="227"/>
      <c r="V178" s="489"/>
      <c r="AB178" s="225"/>
    </row>
    <row r="179" spans="15:28" s="144" customFormat="1">
      <c r="O179" s="226"/>
      <c r="S179" s="227"/>
      <c r="V179" s="489"/>
      <c r="AB179" s="225"/>
    </row>
    <row r="180" spans="15:28" s="144" customFormat="1">
      <c r="O180" s="226"/>
      <c r="S180" s="227"/>
      <c r="V180" s="489"/>
      <c r="AB180" s="225"/>
    </row>
    <row r="181" spans="15:28" s="144" customFormat="1">
      <c r="O181" s="226"/>
      <c r="S181" s="227"/>
      <c r="V181" s="489"/>
      <c r="AB181" s="225"/>
    </row>
    <row r="182" spans="15:28" s="144" customFormat="1">
      <c r="O182" s="226"/>
      <c r="S182" s="227"/>
      <c r="V182" s="489"/>
      <c r="AB182" s="225"/>
    </row>
    <row r="183" spans="15:28" s="144" customFormat="1">
      <c r="O183" s="226"/>
      <c r="S183" s="227"/>
      <c r="V183" s="489"/>
      <c r="AB183" s="225"/>
    </row>
    <row r="184" spans="15:28" s="144" customFormat="1">
      <c r="O184" s="226"/>
      <c r="S184" s="227"/>
      <c r="V184" s="489"/>
      <c r="AB184" s="225"/>
    </row>
    <row r="185" spans="15:28" s="144" customFormat="1">
      <c r="O185" s="226"/>
      <c r="S185" s="227"/>
      <c r="V185" s="489"/>
      <c r="AB185" s="225"/>
    </row>
    <row r="186" spans="15:28" s="144" customFormat="1">
      <c r="O186" s="226"/>
      <c r="S186" s="227"/>
      <c r="V186" s="489"/>
      <c r="AB186" s="225"/>
    </row>
    <row r="187" spans="15:28" s="144" customFormat="1">
      <c r="O187" s="226"/>
      <c r="S187" s="227"/>
      <c r="V187" s="489"/>
      <c r="AB187" s="225"/>
    </row>
    <row r="188" spans="15:28" s="144" customFormat="1">
      <c r="O188" s="226"/>
      <c r="S188" s="227"/>
      <c r="V188" s="489"/>
      <c r="AB188" s="225"/>
    </row>
    <row r="189" spans="15:28" s="144" customFormat="1">
      <c r="O189" s="226"/>
      <c r="S189" s="227"/>
      <c r="V189" s="489"/>
      <c r="AB189" s="225"/>
    </row>
    <row r="190" spans="15:28" s="144" customFormat="1">
      <c r="O190" s="226"/>
      <c r="S190" s="227"/>
      <c r="V190" s="489"/>
      <c r="AB190" s="225"/>
    </row>
    <row r="191" spans="15:28" s="144" customFormat="1">
      <c r="O191" s="226"/>
      <c r="S191" s="227"/>
      <c r="V191" s="489"/>
      <c r="AB191" s="225"/>
    </row>
    <row r="192" spans="15:28" s="144" customFormat="1">
      <c r="O192" s="226"/>
      <c r="S192" s="227"/>
      <c r="V192" s="489"/>
      <c r="AB192" s="225"/>
    </row>
    <row r="193" spans="15:28" s="144" customFormat="1">
      <c r="O193" s="226"/>
      <c r="S193" s="227"/>
      <c r="V193" s="489"/>
      <c r="AB193" s="225"/>
    </row>
    <row r="194" spans="15:28" s="144" customFormat="1">
      <c r="O194" s="226"/>
      <c r="S194" s="227"/>
      <c r="V194" s="489"/>
      <c r="AB194" s="225"/>
    </row>
    <row r="195" spans="15:28" s="144" customFormat="1">
      <c r="O195" s="226"/>
      <c r="S195" s="227"/>
      <c r="V195" s="489"/>
      <c r="AB195" s="225"/>
    </row>
    <row r="196" spans="15:28" s="144" customFormat="1">
      <c r="O196" s="226"/>
      <c r="S196" s="227"/>
      <c r="V196" s="489"/>
      <c r="AB196" s="225"/>
    </row>
    <row r="197" spans="15:28" s="144" customFormat="1">
      <c r="O197" s="226"/>
      <c r="S197" s="227"/>
      <c r="V197" s="489"/>
      <c r="AB197" s="225"/>
    </row>
    <row r="198" spans="15:28" s="144" customFormat="1">
      <c r="O198" s="226"/>
      <c r="S198" s="227"/>
      <c r="V198" s="489"/>
      <c r="AB198" s="225"/>
    </row>
    <row r="199" spans="15:28" s="144" customFormat="1">
      <c r="O199" s="226"/>
      <c r="S199" s="227"/>
      <c r="V199" s="489"/>
      <c r="AB199" s="225"/>
    </row>
    <row r="200" spans="15:28" s="144" customFormat="1">
      <c r="O200" s="226"/>
      <c r="S200" s="227"/>
      <c r="V200" s="489"/>
      <c r="AB200" s="225"/>
    </row>
    <row r="201" spans="15:28" s="144" customFormat="1">
      <c r="O201" s="226"/>
      <c r="S201" s="227"/>
      <c r="V201" s="489"/>
      <c r="AB201" s="225"/>
    </row>
    <row r="202" spans="15:28" s="144" customFormat="1">
      <c r="O202" s="226"/>
      <c r="S202" s="227"/>
      <c r="V202" s="489"/>
      <c r="AB202" s="225"/>
    </row>
    <row r="203" spans="15:28" s="144" customFormat="1">
      <c r="O203" s="226"/>
      <c r="S203" s="227"/>
      <c r="V203" s="489"/>
      <c r="AB203" s="225"/>
    </row>
    <row r="204" spans="15:28" s="144" customFormat="1">
      <c r="O204" s="226"/>
      <c r="S204" s="227"/>
      <c r="V204" s="489"/>
      <c r="AB204" s="225"/>
    </row>
    <row r="205" spans="15:28" s="144" customFormat="1">
      <c r="O205" s="226"/>
      <c r="S205" s="227"/>
      <c r="V205" s="489"/>
      <c r="AB205" s="225"/>
    </row>
    <row r="206" spans="15:28" s="144" customFormat="1">
      <c r="O206" s="226"/>
      <c r="S206" s="227"/>
      <c r="V206" s="489"/>
      <c r="AB206" s="225"/>
    </row>
    <row r="207" spans="15:28" s="144" customFormat="1">
      <c r="O207" s="226"/>
      <c r="S207" s="227"/>
      <c r="V207" s="489"/>
      <c r="AB207" s="225"/>
    </row>
    <row r="208" spans="15:28" s="144" customFormat="1">
      <c r="O208" s="226"/>
      <c r="S208" s="227"/>
      <c r="V208" s="489"/>
      <c r="AB208" s="225"/>
    </row>
    <row r="209" spans="15:28" s="144" customFormat="1">
      <c r="O209" s="226"/>
      <c r="S209" s="227"/>
      <c r="V209" s="489"/>
      <c r="AB209" s="225"/>
    </row>
    <row r="210" spans="15:28" s="144" customFormat="1">
      <c r="O210" s="226"/>
      <c r="S210" s="227"/>
      <c r="V210" s="489"/>
      <c r="AB210" s="225"/>
    </row>
    <row r="211" spans="15:28" s="144" customFormat="1">
      <c r="O211" s="226"/>
      <c r="S211" s="227"/>
      <c r="V211" s="489"/>
      <c r="AB211" s="225"/>
    </row>
    <row r="212" spans="15:28" s="144" customFormat="1">
      <c r="O212" s="226"/>
      <c r="S212" s="227"/>
      <c r="V212" s="489"/>
      <c r="AB212" s="225"/>
    </row>
    <row r="213" spans="15:28" s="144" customFormat="1">
      <c r="O213" s="226"/>
      <c r="S213" s="227"/>
      <c r="V213" s="489"/>
      <c r="AB213" s="225"/>
    </row>
    <row r="214" spans="15:28" s="144" customFormat="1">
      <c r="O214" s="226"/>
      <c r="S214" s="227"/>
      <c r="V214" s="489"/>
      <c r="AB214" s="225"/>
    </row>
    <row r="215" spans="15:28" s="144" customFormat="1">
      <c r="O215" s="226"/>
      <c r="S215" s="227"/>
      <c r="V215" s="489"/>
      <c r="AB215" s="225"/>
    </row>
    <row r="216" spans="15:28" s="144" customFormat="1">
      <c r="O216" s="226"/>
      <c r="S216" s="227"/>
      <c r="V216" s="489"/>
      <c r="AB216" s="225"/>
    </row>
    <row r="217" spans="15:28" s="144" customFormat="1">
      <c r="O217" s="226"/>
      <c r="S217" s="227"/>
      <c r="V217" s="489"/>
      <c r="AB217" s="225"/>
    </row>
    <row r="218" spans="15:28" s="144" customFormat="1">
      <c r="O218" s="226"/>
      <c r="S218" s="227"/>
      <c r="V218" s="489"/>
      <c r="AB218" s="225"/>
    </row>
    <row r="219" spans="15:28" s="144" customFormat="1">
      <c r="O219" s="226"/>
      <c r="S219" s="227"/>
      <c r="V219" s="489"/>
      <c r="AB219" s="225"/>
    </row>
    <row r="220" spans="15:28" s="144" customFormat="1">
      <c r="O220" s="226"/>
      <c r="S220" s="227"/>
      <c r="V220" s="489"/>
      <c r="AB220" s="225"/>
    </row>
    <row r="221" spans="15:28" s="144" customFormat="1">
      <c r="O221" s="226"/>
      <c r="S221" s="227"/>
      <c r="V221" s="489"/>
      <c r="AB221" s="225"/>
    </row>
    <row r="222" spans="15:28" s="144" customFormat="1">
      <c r="O222" s="226"/>
      <c r="S222" s="227"/>
      <c r="V222" s="489"/>
      <c r="AB222" s="225"/>
    </row>
    <row r="223" spans="15:28" s="144" customFormat="1">
      <c r="O223" s="226"/>
      <c r="S223" s="227"/>
      <c r="V223" s="489"/>
      <c r="AB223" s="225"/>
    </row>
    <row r="224" spans="15:28" s="144" customFormat="1">
      <c r="O224" s="226"/>
      <c r="S224" s="227"/>
      <c r="V224" s="489"/>
      <c r="AB224" s="225"/>
    </row>
    <row r="225" spans="15:28" s="144" customFormat="1">
      <c r="O225" s="226"/>
      <c r="S225" s="227"/>
      <c r="V225" s="489"/>
      <c r="AB225" s="225"/>
    </row>
    <row r="226" spans="15:28" s="144" customFormat="1">
      <c r="O226" s="226"/>
      <c r="S226" s="227"/>
      <c r="V226" s="489"/>
      <c r="AB226" s="225"/>
    </row>
    <row r="227" spans="15:28" s="144" customFormat="1">
      <c r="O227" s="226"/>
      <c r="S227" s="227"/>
      <c r="V227" s="489"/>
      <c r="AB227" s="225"/>
    </row>
    <row r="228" spans="15:28" s="144" customFormat="1">
      <c r="O228" s="226"/>
      <c r="S228" s="227"/>
      <c r="V228" s="489"/>
      <c r="AB228" s="225"/>
    </row>
    <row r="229" spans="15:28" s="144" customFormat="1">
      <c r="O229" s="226"/>
      <c r="S229" s="227"/>
      <c r="V229" s="489"/>
      <c r="AB229" s="225"/>
    </row>
    <row r="230" spans="15:28" s="144" customFormat="1">
      <c r="O230" s="226"/>
      <c r="S230" s="227"/>
      <c r="V230" s="489"/>
      <c r="AB230" s="225"/>
    </row>
    <row r="231" spans="15:28" s="144" customFormat="1">
      <c r="O231" s="226"/>
      <c r="S231" s="227"/>
      <c r="V231" s="489"/>
      <c r="AB231" s="225"/>
    </row>
    <row r="232" spans="15:28" s="144" customFormat="1">
      <c r="O232" s="226"/>
      <c r="S232" s="227"/>
      <c r="V232" s="489"/>
      <c r="AB232" s="225"/>
    </row>
    <row r="233" spans="15:28" s="144" customFormat="1">
      <c r="O233" s="226"/>
      <c r="S233" s="227"/>
      <c r="V233" s="489"/>
      <c r="AB233" s="225"/>
    </row>
    <row r="234" spans="15:28" s="144" customFormat="1">
      <c r="O234" s="226"/>
      <c r="S234" s="227"/>
      <c r="V234" s="489"/>
      <c r="AB234" s="225"/>
    </row>
    <row r="235" spans="15:28" s="144" customFormat="1">
      <c r="O235" s="226"/>
      <c r="S235" s="227"/>
      <c r="V235" s="489"/>
      <c r="AB235" s="225"/>
    </row>
    <row r="236" spans="15:28" s="144" customFormat="1">
      <c r="O236" s="226"/>
      <c r="S236" s="227"/>
      <c r="V236" s="489"/>
      <c r="AB236" s="225"/>
    </row>
    <row r="237" spans="15:28" s="144" customFormat="1">
      <c r="O237" s="226"/>
      <c r="S237" s="227"/>
      <c r="V237" s="489"/>
      <c r="AB237" s="225"/>
    </row>
    <row r="238" spans="15:28" s="144" customFormat="1">
      <c r="O238" s="226"/>
      <c r="S238" s="227"/>
      <c r="V238" s="489"/>
      <c r="AB238" s="225"/>
    </row>
    <row r="239" spans="15:28" s="144" customFormat="1">
      <c r="O239" s="226"/>
      <c r="S239" s="227"/>
      <c r="V239" s="489"/>
      <c r="AB239" s="225"/>
    </row>
    <row r="240" spans="15:28" s="144" customFormat="1">
      <c r="O240" s="226"/>
      <c r="S240" s="227"/>
      <c r="V240" s="489"/>
      <c r="AB240" s="225"/>
    </row>
    <row r="241" spans="15:28" s="144" customFormat="1">
      <c r="O241" s="226"/>
      <c r="S241" s="227"/>
      <c r="V241" s="489"/>
      <c r="AB241" s="225"/>
    </row>
    <row r="242" spans="15:28" s="144" customFormat="1">
      <c r="O242" s="226"/>
      <c r="S242" s="227"/>
      <c r="V242" s="489"/>
      <c r="AB242" s="225"/>
    </row>
    <row r="243" spans="15:28" s="144" customFormat="1">
      <c r="O243" s="226"/>
      <c r="S243" s="227"/>
      <c r="V243" s="489"/>
      <c r="AB243" s="225"/>
    </row>
    <row r="244" spans="15:28" s="144" customFormat="1">
      <c r="O244" s="226"/>
      <c r="S244" s="227"/>
      <c r="V244" s="489"/>
      <c r="AB244" s="225"/>
    </row>
    <row r="245" spans="15:28" s="144" customFormat="1">
      <c r="O245" s="226"/>
      <c r="S245" s="227"/>
      <c r="V245" s="489"/>
      <c r="AB245" s="225"/>
    </row>
    <row r="246" spans="15:28" s="144" customFormat="1">
      <c r="O246" s="226"/>
      <c r="S246" s="227"/>
      <c r="V246" s="489"/>
      <c r="AB246" s="225"/>
    </row>
    <row r="247" spans="15:28" s="144" customFormat="1">
      <c r="O247" s="226"/>
      <c r="S247" s="227"/>
      <c r="V247" s="489"/>
      <c r="AB247" s="225"/>
    </row>
    <row r="248" spans="15:28" s="144" customFormat="1">
      <c r="O248" s="226"/>
      <c r="S248" s="227"/>
      <c r="V248" s="489"/>
      <c r="AB248" s="225"/>
    </row>
    <row r="249" spans="15:28" s="144" customFormat="1">
      <c r="O249" s="226"/>
      <c r="S249" s="227"/>
      <c r="V249" s="489"/>
      <c r="AB249" s="225"/>
    </row>
    <row r="250" spans="15:28" s="144" customFormat="1">
      <c r="O250" s="226"/>
      <c r="S250" s="227"/>
      <c r="V250" s="489"/>
      <c r="AB250" s="225"/>
    </row>
    <row r="251" spans="15:28" s="144" customFormat="1">
      <c r="O251" s="226"/>
      <c r="S251" s="227"/>
      <c r="V251" s="489"/>
      <c r="AB251" s="225"/>
    </row>
    <row r="252" spans="15:28" s="144" customFormat="1">
      <c r="O252" s="226"/>
      <c r="S252" s="227"/>
      <c r="V252" s="489"/>
      <c r="AB252" s="225"/>
    </row>
    <row r="253" spans="15:28" s="144" customFormat="1">
      <c r="O253" s="226"/>
      <c r="S253" s="227"/>
      <c r="V253" s="489"/>
      <c r="AB253" s="225"/>
    </row>
    <row r="254" spans="15:28" s="144" customFormat="1">
      <c r="O254" s="226"/>
      <c r="S254" s="227"/>
      <c r="V254" s="489"/>
      <c r="AB254" s="225"/>
    </row>
    <row r="255" spans="15:28" s="144" customFormat="1">
      <c r="O255" s="226"/>
      <c r="S255" s="227"/>
      <c r="V255" s="489"/>
      <c r="AB255" s="225"/>
    </row>
    <row r="256" spans="15:28" s="144" customFormat="1">
      <c r="O256" s="226"/>
      <c r="S256" s="227"/>
      <c r="V256" s="489"/>
      <c r="AB256" s="225"/>
    </row>
    <row r="257" spans="15:28" s="144" customFormat="1">
      <c r="O257" s="226"/>
      <c r="S257" s="227"/>
      <c r="V257" s="489"/>
      <c r="AB257" s="225"/>
    </row>
    <row r="258" spans="15:28" s="144" customFormat="1">
      <c r="O258" s="226"/>
      <c r="S258" s="227"/>
      <c r="V258" s="489"/>
      <c r="AB258" s="225"/>
    </row>
    <row r="259" spans="15:28" s="144" customFormat="1">
      <c r="O259" s="226"/>
      <c r="S259" s="227"/>
      <c r="V259" s="489"/>
      <c r="AB259" s="225"/>
    </row>
    <row r="260" spans="15:28" s="144" customFormat="1">
      <c r="O260" s="226"/>
      <c r="S260" s="227"/>
      <c r="V260" s="489"/>
      <c r="AB260" s="225"/>
    </row>
    <row r="261" spans="15:28" s="144" customFormat="1">
      <c r="O261" s="226"/>
      <c r="S261" s="227"/>
      <c r="V261" s="489"/>
      <c r="AB261" s="225"/>
    </row>
    <row r="262" spans="15:28" s="144" customFormat="1">
      <c r="O262" s="226"/>
      <c r="S262" s="227"/>
      <c r="V262" s="489"/>
      <c r="AB262" s="225"/>
    </row>
    <row r="263" spans="15:28" s="144" customFormat="1">
      <c r="O263" s="226"/>
      <c r="S263" s="227"/>
      <c r="V263" s="489"/>
      <c r="AB263" s="225"/>
    </row>
    <row r="264" spans="15:28" s="144" customFormat="1">
      <c r="O264" s="226"/>
      <c r="S264" s="227"/>
      <c r="V264" s="489"/>
      <c r="AB264" s="225"/>
    </row>
    <row r="265" spans="15:28" s="144" customFormat="1">
      <c r="O265" s="226"/>
      <c r="S265" s="227"/>
      <c r="V265" s="489"/>
      <c r="AB265" s="225"/>
    </row>
    <row r="266" spans="15:28" s="144" customFormat="1">
      <c r="O266" s="226"/>
      <c r="S266" s="227"/>
      <c r="V266" s="489"/>
      <c r="AB266" s="225"/>
    </row>
    <row r="267" spans="15:28" s="144" customFormat="1">
      <c r="O267" s="226"/>
      <c r="S267" s="227"/>
      <c r="V267" s="489"/>
      <c r="AB267" s="225"/>
    </row>
    <row r="268" spans="15:28" s="144" customFormat="1">
      <c r="O268" s="226"/>
      <c r="S268" s="227"/>
      <c r="V268" s="489"/>
      <c r="AB268" s="225"/>
    </row>
    <row r="269" spans="15:28" s="144" customFormat="1">
      <c r="O269" s="226"/>
      <c r="S269" s="227"/>
      <c r="V269" s="489"/>
      <c r="AB269" s="225"/>
    </row>
    <row r="270" spans="15:28" s="144" customFormat="1">
      <c r="O270" s="226"/>
      <c r="S270" s="227"/>
      <c r="V270" s="489"/>
      <c r="AB270" s="225"/>
    </row>
    <row r="271" spans="15:28" s="144" customFormat="1">
      <c r="O271" s="226"/>
      <c r="S271" s="227"/>
      <c r="V271" s="489"/>
      <c r="AB271" s="225"/>
    </row>
    <row r="272" spans="15:28" s="144" customFormat="1">
      <c r="O272" s="226"/>
      <c r="S272" s="227"/>
      <c r="V272" s="489"/>
      <c r="AB272" s="225"/>
    </row>
    <row r="273" spans="15:28" s="144" customFormat="1">
      <c r="O273" s="226"/>
      <c r="S273" s="227"/>
      <c r="V273" s="489"/>
      <c r="AB273" s="225"/>
    </row>
    <row r="274" spans="15:28" s="144" customFormat="1">
      <c r="O274" s="226"/>
      <c r="S274" s="227"/>
      <c r="V274" s="489"/>
      <c r="AB274" s="225"/>
    </row>
    <row r="275" spans="15:28" s="144" customFormat="1">
      <c r="O275" s="226"/>
      <c r="S275" s="227"/>
      <c r="V275" s="489"/>
      <c r="AB275" s="225"/>
    </row>
    <row r="276" spans="15:28" s="144" customFormat="1">
      <c r="O276" s="226"/>
      <c r="S276" s="227"/>
      <c r="V276" s="489"/>
      <c r="AB276" s="225"/>
    </row>
    <row r="277" spans="15:28" s="144" customFormat="1">
      <c r="O277" s="226"/>
      <c r="S277" s="227"/>
      <c r="V277" s="489"/>
      <c r="AB277" s="225"/>
    </row>
    <row r="278" spans="15:28" s="144" customFormat="1">
      <c r="O278" s="226"/>
      <c r="S278" s="227"/>
      <c r="V278" s="489"/>
      <c r="AB278" s="225"/>
    </row>
    <row r="279" spans="15:28" s="144" customFormat="1">
      <c r="O279" s="226"/>
      <c r="S279" s="227"/>
      <c r="V279" s="489"/>
      <c r="AB279" s="225"/>
    </row>
    <row r="280" spans="15:28" s="144" customFormat="1">
      <c r="O280" s="226"/>
      <c r="S280" s="227"/>
      <c r="V280" s="489"/>
      <c r="AB280" s="225"/>
    </row>
    <row r="281" spans="15:28" s="144" customFormat="1">
      <c r="O281" s="226"/>
      <c r="S281" s="227"/>
      <c r="V281" s="489"/>
      <c r="AB281" s="225"/>
    </row>
    <row r="282" spans="15:28" s="144" customFormat="1">
      <c r="O282" s="226"/>
      <c r="S282" s="227"/>
      <c r="V282" s="489"/>
      <c r="AB282" s="225"/>
    </row>
    <row r="283" spans="15:28" s="144" customFormat="1">
      <c r="O283" s="226"/>
      <c r="S283" s="227"/>
      <c r="V283" s="489"/>
      <c r="AB283" s="225"/>
    </row>
    <row r="284" spans="15:28" s="144" customFormat="1">
      <c r="O284" s="226"/>
      <c r="S284" s="227"/>
      <c r="V284" s="489"/>
      <c r="AB284" s="225"/>
    </row>
    <row r="285" spans="15:28" s="144" customFormat="1">
      <c r="O285" s="226"/>
      <c r="S285" s="227"/>
      <c r="V285" s="489"/>
      <c r="AB285" s="225"/>
    </row>
    <row r="286" spans="15:28" s="144" customFormat="1">
      <c r="O286" s="226"/>
      <c r="S286" s="227"/>
      <c r="V286" s="489"/>
      <c r="AB286" s="225"/>
    </row>
    <row r="287" spans="15:28" s="144" customFormat="1">
      <c r="O287" s="226"/>
      <c r="S287" s="227"/>
      <c r="V287" s="489"/>
      <c r="AB287" s="225"/>
    </row>
    <row r="288" spans="15:28" s="144" customFormat="1">
      <c r="O288" s="226"/>
      <c r="S288" s="227"/>
      <c r="V288" s="489"/>
      <c r="AB288" s="225"/>
    </row>
    <row r="289" spans="15:28" s="144" customFormat="1">
      <c r="O289" s="226"/>
      <c r="S289" s="227"/>
      <c r="V289" s="489"/>
      <c r="AB289" s="225"/>
    </row>
    <row r="290" spans="15:28" s="144" customFormat="1">
      <c r="O290" s="226"/>
      <c r="S290" s="227"/>
      <c r="V290" s="489"/>
      <c r="AB290" s="225"/>
    </row>
    <row r="291" spans="15:28" s="144" customFormat="1">
      <c r="O291" s="226"/>
      <c r="S291" s="227"/>
      <c r="V291" s="489"/>
      <c r="AB291" s="225"/>
    </row>
  </sheetData>
  <pageMargins left="0.75" right="0.75" top="1" bottom="1" header="0.5" footer="0.5"/>
  <pageSetup paperSize="9" orientation="portrait" horizontalDpi="4294967292" verticalDpi="4294967292" r:id="rId1"/>
  <ignoredErrors>
    <ignoredError sqref="G99:G102 G92:G95 G85:G88 G71:G81 G57:G66 G43:G53 G29:G39 G15:G25 G8:G11 P8:P11 J127 J130 K127:K13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DO28"/>
  <sheetViews>
    <sheetView topLeftCell="CR4" workbookViewId="0">
      <selection activeCell="DD21" sqref="DD21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4" width="12.375" style="1060" customWidth="1"/>
    <col min="5" max="7" width="10.25" customWidth="1"/>
    <col min="8" max="10" width="11.75" customWidth="1"/>
    <col min="11" max="11" width="11.75" style="1060" customWidth="1"/>
    <col min="12" max="13" width="11.75" customWidth="1"/>
    <col min="14" max="14" width="11.75" style="1060" customWidth="1"/>
    <col min="15" max="15" width="11.75" customWidth="1"/>
    <col min="16" max="16" width="11.75" style="1060" customWidth="1"/>
    <col min="17" max="17" width="10.875" customWidth="1"/>
    <col min="18" max="18" width="13" bestFit="1" customWidth="1"/>
    <col min="19" max="19" width="10.25" customWidth="1"/>
    <col min="20" max="20" width="10.25" style="1060" customWidth="1"/>
    <col min="21" max="22" width="10.25" customWidth="1"/>
    <col min="23" max="23" width="12.25" bestFit="1" customWidth="1"/>
    <col min="25" max="25" width="9" customWidth="1"/>
    <col min="27" max="27" width="8.625" style="1060"/>
    <col min="30" max="30" width="8.625" style="1060"/>
    <col min="32" max="32" width="8.625" style="1060"/>
    <col min="35" max="35" width="11" customWidth="1"/>
    <col min="36" max="36" width="11" style="1060" customWidth="1"/>
    <col min="37" max="38" width="11" customWidth="1"/>
    <col min="39" max="39" width="11.125" customWidth="1"/>
    <col min="40" max="40" width="10.25" customWidth="1"/>
    <col min="43" max="43" width="8.625" style="1060"/>
    <col min="46" max="46" width="8.625" style="1060"/>
    <col min="48" max="48" width="8.625" style="1060"/>
    <col min="50" max="51" width="10.125" customWidth="1"/>
    <col min="52" max="52" width="10.125" style="1060" customWidth="1"/>
    <col min="59" max="59" width="8.625" style="1060"/>
    <col min="62" max="63" width="8.625" style="1060"/>
    <col min="66" max="66" width="10.75" customWidth="1"/>
    <col min="67" max="67" width="11.25" customWidth="1"/>
    <col min="68" max="68" width="11.25" style="1060" customWidth="1"/>
    <col min="74" max="76" width="8.625" style="1060"/>
    <col min="82" max="82" width="10.75" customWidth="1"/>
    <col min="83" max="83" width="11.375" bestFit="1" customWidth="1"/>
    <col min="84" max="84" width="11.375" style="1060" customWidth="1"/>
    <col min="85" max="87" width="11.375" customWidth="1"/>
    <col min="90" max="92" width="8.625" style="1060"/>
    <col min="98" max="98" width="9.5" customWidth="1"/>
    <col min="99" max="99" width="11.875" bestFit="1" customWidth="1"/>
    <col min="100" max="100" width="11.875" style="1060" customWidth="1"/>
    <col min="104" max="104" width="8.625"/>
    <col min="105" max="107" width="8.625" style="1060"/>
    <col min="114" max="114" width="9" customWidth="1"/>
    <col min="115" max="115" width="8.625" customWidth="1"/>
  </cols>
  <sheetData>
    <row r="2" spans="1:116">
      <c r="A2" s="322" t="s">
        <v>1414</v>
      </c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2"/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2"/>
      <c r="BL2" s="322"/>
      <c r="BM2" s="322"/>
      <c r="BN2" s="322"/>
      <c r="BO2" s="322"/>
      <c r="BP2" s="322"/>
      <c r="BQ2" s="322"/>
      <c r="BR2" s="322"/>
      <c r="BS2" s="322"/>
      <c r="BT2" s="322"/>
      <c r="BU2" s="322"/>
      <c r="BV2" s="322"/>
      <c r="BW2" s="322"/>
      <c r="BX2" s="322"/>
      <c r="BY2" s="322"/>
      <c r="BZ2" s="322"/>
      <c r="CA2" s="322"/>
      <c r="CB2" s="322"/>
      <c r="CC2" s="322"/>
      <c r="CD2" s="322"/>
      <c r="CE2" s="322"/>
      <c r="CF2" s="322"/>
      <c r="CG2" s="322"/>
      <c r="CH2" s="322"/>
      <c r="CI2" s="322"/>
      <c r="CJ2" s="322"/>
      <c r="CK2" s="322"/>
      <c r="CL2" s="322"/>
      <c r="CM2" s="322"/>
      <c r="CN2" s="322"/>
      <c r="CO2" s="322"/>
      <c r="CP2" s="322"/>
      <c r="CQ2" s="322"/>
      <c r="CR2" s="322"/>
      <c r="CS2" s="322"/>
      <c r="CT2" s="322"/>
      <c r="CU2" s="322"/>
      <c r="CV2" s="322"/>
      <c r="CW2" s="322"/>
      <c r="CX2" s="322"/>
      <c r="CY2" s="322"/>
      <c r="CZ2" s="322"/>
      <c r="DA2" s="322"/>
      <c r="DB2" s="322"/>
      <c r="DC2" s="322"/>
      <c r="DD2" s="322"/>
      <c r="DE2" s="322"/>
      <c r="DF2" s="322"/>
      <c r="DG2" s="322"/>
      <c r="DH2" s="322"/>
      <c r="DI2" s="322"/>
      <c r="DJ2" s="322"/>
      <c r="DK2" s="322"/>
    </row>
    <row r="3" spans="1:116" ht="15.75" customHeight="1" thickBot="1">
      <c r="A3" s="121"/>
      <c r="B3" s="1601" t="s">
        <v>1130</v>
      </c>
      <c r="C3" s="1602"/>
      <c r="D3" s="1602"/>
      <c r="E3" s="1602"/>
      <c r="F3" s="1602"/>
      <c r="G3" s="1602"/>
      <c r="H3" s="1602"/>
      <c r="I3" s="1602"/>
      <c r="J3" s="1602"/>
      <c r="K3" s="1602"/>
      <c r="L3" s="1602"/>
      <c r="M3" s="1602"/>
      <c r="N3" s="1602"/>
      <c r="O3" s="1602"/>
      <c r="P3" s="1602"/>
      <c r="Q3" s="1602"/>
      <c r="R3" s="1602"/>
      <c r="S3" s="1602"/>
      <c r="T3" s="1602"/>
      <c r="U3" s="1602"/>
      <c r="V3" s="1602"/>
      <c r="W3" s="1602"/>
      <c r="X3" s="1602"/>
      <c r="Y3" s="1602"/>
      <c r="Z3" s="1602"/>
      <c r="AA3" s="1602"/>
      <c r="AB3" s="1602"/>
      <c r="AC3" s="1602"/>
      <c r="AD3" s="1602"/>
      <c r="AE3" s="1602"/>
      <c r="AF3" s="1602"/>
      <c r="AG3" s="1602"/>
      <c r="AH3" s="1602"/>
      <c r="AI3" s="1602"/>
      <c r="AJ3" s="1602"/>
      <c r="AK3" s="1602"/>
      <c r="AL3" s="1602"/>
      <c r="AM3" s="1602"/>
      <c r="AN3" s="1602"/>
      <c r="AO3" s="1602"/>
      <c r="AP3" s="1602"/>
      <c r="AQ3" s="1602"/>
      <c r="AR3" s="1602"/>
      <c r="AS3" s="1602"/>
      <c r="AT3" s="1602"/>
      <c r="AU3" s="1602"/>
      <c r="AV3" s="1602"/>
      <c r="AW3" s="1602"/>
      <c r="AX3" s="1602"/>
      <c r="AY3" s="1602"/>
      <c r="AZ3" s="1602"/>
      <c r="BA3" s="1602"/>
      <c r="BB3" s="1602"/>
      <c r="BC3" s="1602"/>
      <c r="BD3" s="1602"/>
      <c r="BE3" s="1602"/>
      <c r="BF3" s="1602"/>
      <c r="BG3" s="1602"/>
      <c r="BH3" s="1602"/>
      <c r="BI3" s="1602"/>
      <c r="BJ3" s="1602"/>
      <c r="BK3" s="1602"/>
      <c r="BL3" s="1602"/>
      <c r="BM3" s="1602"/>
      <c r="BN3" s="1602"/>
      <c r="BO3" s="1602"/>
      <c r="BP3" s="1602"/>
      <c r="BQ3" s="1602"/>
      <c r="BR3" s="1602"/>
      <c r="BS3" s="1602"/>
      <c r="BT3" s="1602"/>
      <c r="BU3" s="1602"/>
      <c r="BV3" s="1602"/>
      <c r="BW3" s="1602"/>
      <c r="BX3" s="1602"/>
      <c r="BY3" s="1602"/>
      <c r="BZ3" s="1602"/>
      <c r="CA3" s="1602"/>
      <c r="CB3" s="1602"/>
      <c r="CC3" s="1602"/>
      <c r="CD3" s="1602"/>
      <c r="CE3" s="1602"/>
      <c r="CF3" s="1602"/>
      <c r="CG3" s="1602"/>
      <c r="CH3" s="1602"/>
      <c r="CI3" s="1602"/>
      <c r="CJ3" s="1602"/>
      <c r="CK3" s="1602"/>
      <c r="CL3" s="1602"/>
      <c r="CM3" s="1602"/>
      <c r="CN3" s="1602"/>
      <c r="CO3" s="1602"/>
      <c r="CP3" s="1602"/>
      <c r="CQ3" s="1602"/>
      <c r="CR3" s="1602"/>
      <c r="CS3" s="1602"/>
      <c r="CT3" s="1602"/>
      <c r="CU3" s="1602"/>
      <c r="CV3" s="1602"/>
      <c r="CW3" s="1602"/>
      <c r="CX3" s="1602"/>
      <c r="CY3" s="1602"/>
      <c r="CZ3" s="1602"/>
      <c r="DA3" s="1602"/>
      <c r="DB3" s="1602"/>
      <c r="DC3" s="1602"/>
      <c r="DD3" s="1602"/>
      <c r="DE3" s="1602"/>
      <c r="DF3" s="1602"/>
      <c r="DG3" s="1602"/>
      <c r="DH3" s="1602"/>
      <c r="DI3" s="1602"/>
      <c r="DJ3" s="1602"/>
      <c r="DK3" s="1602"/>
    </row>
    <row r="4" spans="1:116">
      <c r="A4" s="473"/>
      <c r="B4" s="1599" t="str">
        <f>CONCATENATE("Feed Item 1 - ", INPUTS!B56)</f>
        <v>Feed Item 1 - Concentrate (commercial)</v>
      </c>
      <c r="C4" s="1600"/>
      <c r="D4" s="1600"/>
      <c r="E4" s="1600"/>
      <c r="F4" s="1600"/>
      <c r="G4" s="1600"/>
      <c r="H4" s="1600"/>
      <c r="I4" s="1600"/>
      <c r="J4" s="1600"/>
      <c r="K4" s="1600"/>
      <c r="L4" s="1600"/>
      <c r="M4" s="1600"/>
      <c r="N4" s="1600"/>
      <c r="O4" s="1600"/>
      <c r="P4" s="1600"/>
      <c r="Q4" s="1600"/>
      <c r="R4" s="1603" t="str">
        <f>CONCATENATE("Feed Item 2 - ", INPUTS!B57)</f>
        <v>Feed Item 2 - Pennisetum purpureum - forage</v>
      </c>
      <c r="S4" s="1604"/>
      <c r="T4" s="1604"/>
      <c r="U4" s="1604"/>
      <c r="V4" s="1604"/>
      <c r="W4" s="1604"/>
      <c r="X4" s="1604"/>
      <c r="Y4" s="1605"/>
      <c r="Z4" s="1605"/>
      <c r="AA4" s="1605"/>
      <c r="AB4" s="1605"/>
      <c r="AC4" s="1605"/>
      <c r="AD4" s="1605"/>
      <c r="AE4" s="1605"/>
      <c r="AF4" s="1605"/>
      <c r="AG4" s="1606"/>
      <c r="AH4" s="1603" t="str">
        <f>CONCATENATE("Feed Item 3 - ", INPUTS!B58)</f>
        <v>Feed Item 3 - Rhodes grass (Chloris gayana) - forage</v>
      </c>
      <c r="AI4" s="1604"/>
      <c r="AJ4" s="1604"/>
      <c r="AK4" s="1604"/>
      <c r="AL4" s="1604"/>
      <c r="AM4" s="1604"/>
      <c r="AN4" s="1604"/>
      <c r="AO4" s="1604"/>
      <c r="AP4" s="1605"/>
      <c r="AQ4" s="1605"/>
      <c r="AR4" s="1605"/>
      <c r="AS4" s="1605"/>
      <c r="AT4" s="1605"/>
      <c r="AU4" s="1605"/>
      <c r="AV4" s="1605"/>
      <c r="AW4" s="1606"/>
      <c r="AX4" s="1603" t="str">
        <f>CONCATENATE("Feed Item 4 - ", INPUTS!B59)</f>
        <v>Feed Item 4 - Guatemala (Tripsacum andersonii) - forage</v>
      </c>
      <c r="AY4" s="1604"/>
      <c r="AZ4" s="1604"/>
      <c r="BA4" s="1604"/>
      <c r="BB4" s="1604"/>
      <c r="BC4" s="1604"/>
      <c r="BD4" s="1604"/>
      <c r="BE4" s="1604"/>
      <c r="BF4" s="1605"/>
      <c r="BG4" s="1605"/>
      <c r="BH4" s="1605"/>
      <c r="BI4" s="1605"/>
      <c r="BJ4" s="1605"/>
      <c r="BK4" s="1605"/>
      <c r="BL4" s="1605"/>
      <c r="BM4" s="1606"/>
      <c r="BN4" s="1603" t="str">
        <f>CONCATENATE("Feed Item 5 - ", INPUTS!B60)</f>
        <v>Feed Item 5 - Maize (Zea mays) - stover</v>
      </c>
      <c r="BO4" s="1604"/>
      <c r="BP4" s="1604"/>
      <c r="BQ4" s="1604"/>
      <c r="BR4" s="1604"/>
      <c r="BS4" s="1604"/>
      <c r="BT4" s="1604"/>
      <c r="BU4" s="1604"/>
      <c r="BV4" s="1605"/>
      <c r="BW4" s="1605"/>
      <c r="BX4" s="1605"/>
      <c r="BY4" s="1605"/>
      <c r="BZ4" s="1605"/>
      <c r="CA4" s="1605"/>
      <c r="CB4" s="1605"/>
      <c r="CC4" s="1606"/>
      <c r="CD4" s="1607" t="str">
        <f>CONCATENATE("Feed Item 6 - ", INPUTS!B61)</f>
        <v xml:space="preserve">Feed Item 6 - Naturally occuring pasture - green fodder </v>
      </c>
      <c r="CE4" s="1608"/>
      <c r="CF4" s="1608"/>
      <c r="CG4" s="1608"/>
      <c r="CH4" s="1608"/>
      <c r="CI4" s="1608"/>
      <c r="CJ4" s="1608"/>
      <c r="CK4" s="1608"/>
      <c r="CL4" s="1609"/>
      <c r="CM4" s="1609"/>
      <c r="CN4" s="1609"/>
      <c r="CO4" s="1609"/>
      <c r="CP4" s="1609"/>
      <c r="CQ4" s="1609"/>
      <c r="CR4" s="1609"/>
      <c r="CS4" s="1610"/>
      <c r="CT4" s="1603" t="str">
        <f>CONCATENATE("Feed Item 7 - ", INPUTS!B62)</f>
        <v>Feed Item 7 - N/A</v>
      </c>
      <c r="CU4" s="1604"/>
      <c r="CV4" s="1604"/>
      <c r="CW4" s="1604"/>
      <c r="CX4" s="1604"/>
      <c r="CY4" s="1604"/>
      <c r="CZ4" s="1604"/>
      <c r="DA4" s="1604"/>
      <c r="DB4" s="1604"/>
      <c r="DC4" s="1604"/>
      <c r="DD4" s="1604"/>
      <c r="DE4" s="1605"/>
      <c r="DF4" s="1605"/>
      <c r="DG4" s="1605"/>
      <c r="DH4" s="1605"/>
      <c r="DI4" s="1606"/>
      <c r="DJ4" s="482"/>
      <c r="DK4" s="483"/>
      <c r="DL4" s="483"/>
    </row>
    <row r="5" spans="1:116" ht="62.25" customHeight="1">
      <c r="A5" s="474"/>
      <c r="B5" s="642" t="s">
        <v>1086</v>
      </c>
      <c r="C5" s="403" t="s">
        <v>1087</v>
      </c>
      <c r="D5" s="403" t="s">
        <v>1849</v>
      </c>
      <c r="E5" s="403" t="s">
        <v>1416</v>
      </c>
      <c r="F5" s="403" t="s">
        <v>1417</v>
      </c>
      <c r="G5" s="403" t="s">
        <v>1415</v>
      </c>
      <c r="H5" s="403" t="s">
        <v>1338</v>
      </c>
      <c r="I5" s="403" t="s">
        <v>1420</v>
      </c>
      <c r="J5" s="403" t="s">
        <v>1421</v>
      </c>
      <c r="K5" s="403" t="s">
        <v>1850</v>
      </c>
      <c r="L5" s="403" t="s">
        <v>1418</v>
      </c>
      <c r="M5" s="403" t="s">
        <v>1419</v>
      </c>
      <c r="N5" s="403" t="s">
        <v>1851</v>
      </c>
      <c r="O5" s="699" t="s">
        <v>1422</v>
      </c>
      <c r="P5" s="640" t="s">
        <v>1423</v>
      </c>
      <c r="Q5" s="640" t="s">
        <v>1852</v>
      </c>
      <c r="R5" s="642" t="s">
        <v>1086</v>
      </c>
      <c r="S5" s="403" t="s">
        <v>1087</v>
      </c>
      <c r="T5" s="403" t="s">
        <v>1849</v>
      </c>
      <c r="U5" s="403" t="s">
        <v>1416</v>
      </c>
      <c r="V5" s="403" t="s">
        <v>1417</v>
      </c>
      <c r="W5" s="403" t="s">
        <v>1415</v>
      </c>
      <c r="X5" s="403" t="s">
        <v>1338</v>
      </c>
      <c r="Y5" s="403" t="s">
        <v>1420</v>
      </c>
      <c r="Z5" s="403" t="s">
        <v>1421</v>
      </c>
      <c r="AA5" s="403" t="s">
        <v>1850</v>
      </c>
      <c r="AB5" s="403" t="s">
        <v>1418</v>
      </c>
      <c r="AC5" s="403" t="s">
        <v>1419</v>
      </c>
      <c r="AD5" s="403" t="s">
        <v>1851</v>
      </c>
      <c r="AE5" s="699" t="s">
        <v>1422</v>
      </c>
      <c r="AF5" s="640" t="s">
        <v>1423</v>
      </c>
      <c r="AG5" s="640" t="s">
        <v>1852</v>
      </c>
      <c r="AH5" s="476" t="s">
        <v>1086</v>
      </c>
      <c r="AI5" s="403" t="s">
        <v>1087</v>
      </c>
      <c r="AJ5" s="403" t="s">
        <v>1849</v>
      </c>
      <c r="AK5" s="403" t="s">
        <v>1416</v>
      </c>
      <c r="AL5" s="403" t="s">
        <v>1417</v>
      </c>
      <c r="AM5" s="403" t="s">
        <v>1415</v>
      </c>
      <c r="AN5" s="403" t="s">
        <v>1338</v>
      </c>
      <c r="AO5" s="403" t="s">
        <v>1420</v>
      </c>
      <c r="AP5" s="403" t="s">
        <v>1421</v>
      </c>
      <c r="AQ5" s="403" t="s">
        <v>1850</v>
      </c>
      <c r="AR5" s="403" t="s">
        <v>1418</v>
      </c>
      <c r="AS5" s="403" t="s">
        <v>1419</v>
      </c>
      <c r="AT5" s="403" t="s">
        <v>1851</v>
      </c>
      <c r="AU5" s="699" t="s">
        <v>1422</v>
      </c>
      <c r="AV5" s="640" t="s">
        <v>1423</v>
      </c>
      <c r="AW5" s="640" t="s">
        <v>1852</v>
      </c>
      <c r="AX5" s="476" t="s">
        <v>1086</v>
      </c>
      <c r="AY5" s="403" t="s">
        <v>1087</v>
      </c>
      <c r="AZ5" s="403" t="s">
        <v>1849</v>
      </c>
      <c r="BA5" s="403" t="s">
        <v>1416</v>
      </c>
      <c r="BB5" s="403" t="s">
        <v>1417</v>
      </c>
      <c r="BC5" s="403" t="s">
        <v>1415</v>
      </c>
      <c r="BD5" s="403" t="s">
        <v>1338</v>
      </c>
      <c r="BE5" s="403" t="s">
        <v>1420</v>
      </c>
      <c r="BF5" s="403" t="s">
        <v>1421</v>
      </c>
      <c r="BG5" s="403" t="s">
        <v>1850</v>
      </c>
      <c r="BH5" s="403" t="s">
        <v>1418</v>
      </c>
      <c r="BI5" s="403" t="s">
        <v>1419</v>
      </c>
      <c r="BJ5" s="403" t="s">
        <v>1851</v>
      </c>
      <c r="BK5" s="699" t="s">
        <v>1422</v>
      </c>
      <c r="BL5" s="640" t="s">
        <v>1423</v>
      </c>
      <c r="BM5" s="640" t="s">
        <v>1852</v>
      </c>
      <c r="BN5" s="476" t="s">
        <v>1086</v>
      </c>
      <c r="BO5" s="403" t="s">
        <v>1087</v>
      </c>
      <c r="BP5" s="403" t="s">
        <v>1849</v>
      </c>
      <c r="BQ5" s="403" t="s">
        <v>1416</v>
      </c>
      <c r="BR5" s="403" t="s">
        <v>1417</v>
      </c>
      <c r="BS5" s="403" t="s">
        <v>1415</v>
      </c>
      <c r="BT5" s="403" t="s">
        <v>1338</v>
      </c>
      <c r="BU5" s="403" t="s">
        <v>1420</v>
      </c>
      <c r="BV5" s="403" t="s">
        <v>1421</v>
      </c>
      <c r="BW5" s="403" t="s">
        <v>1850</v>
      </c>
      <c r="BX5" s="403" t="s">
        <v>1418</v>
      </c>
      <c r="BY5" s="403" t="s">
        <v>1419</v>
      </c>
      <c r="BZ5" s="403" t="s">
        <v>1851</v>
      </c>
      <c r="CA5" s="699" t="s">
        <v>1422</v>
      </c>
      <c r="CB5" s="640" t="s">
        <v>1423</v>
      </c>
      <c r="CC5" s="640" t="s">
        <v>1852</v>
      </c>
      <c r="CD5" s="476" t="s">
        <v>1086</v>
      </c>
      <c r="CE5" s="403" t="s">
        <v>1087</v>
      </c>
      <c r="CF5" s="403" t="s">
        <v>1849</v>
      </c>
      <c r="CG5" s="403" t="s">
        <v>1416</v>
      </c>
      <c r="CH5" s="403" t="s">
        <v>1417</v>
      </c>
      <c r="CI5" s="403" t="s">
        <v>1415</v>
      </c>
      <c r="CJ5" s="403" t="s">
        <v>1338</v>
      </c>
      <c r="CK5" s="403" t="s">
        <v>1420</v>
      </c>
      <c r="CL5" s="403" t="s">
        <v>1421</v>
      </c>
      <c r="CM5" s="403" t="s">
        <v>1850</v>
      </c>
      <c r="CN5" s="403" t="s">
        <v>1418</v>
      </c>
      <c r="CO5" s="403" t="s">
        <v>1419</v>
      </c>
      <c r="CP5" s="403" t="s">
        <v>1851</v>
      </c>
      <c r="CQ5" s="699" t="s">
        <v>1422</v>
      </c>
      <c r="CR5" s="640" t="s">
        <v>1423</v>
      </c>
      <c r="CS5" s="640" t="s">
        <v>1852</v>
      </c>
      <c r="CT5" s="642" t="s">
        <v>1086</v>
      </c>
      <c r="CU5" s="403" t="s">
        <v>1087</v>
      </c>
      <c r="CV5" s="403" t="s">
        <v>1087</v>
      </c>
      <c r="CW5" s="403" t="s">
        <v>1416</v>
      </c>
      <c r="CX5" s="403" t="s">
        <v>1417</v>
      </c>
      <c r="CY5" s="403" t="s">
        <v>1415</v>
      </c>
      <c r="CZ5" s="403" t="s">
        <v>1338</v>
      </c>
      <c r="DA5" s="403" t="s">
        <v>1420</v>
      </c>
      <c r="DB5" s="403" t="s">
        <v>1421</v>
      </c>
      <c r="DC5" s="403" t="s">
        <v>1850</v>
      </c>
      <c r="DD5" s="403" t="s">
        <v>1418</v>
      </c>
      <c r="DE5" s="403" t="s">
        <v>1419</v>
      </c>
      <c r="DF5" s="403" t="s">
        <v>1851</v>
      </c>
      <c r="DG5" s="699" t="s">
        <v>1422</v>
      </c>
      <c r="DH5" s="640" t="s">
        <v>1423</v>
      </c>
      <c r="DI5" s="640" t="s">
        <v>1852</v>
      </c>
      <c r="DJ5" s="477" t="s">
        <v>1306</v>
      </c>
      <c r="DK5" s="477" t="s">
        <v>1307</v>
      </c>
      <c r="DL5" s="477" t="s">
        <v>1853</v>
      </c>
    </row>
    <row r="6" spans="1:116">
      <c r="A6" s="474" t="str">
        <f>'Livestock parameters'!A2</f>
        <v>Cows (improved)</v>
      </c>
      <c r="B6" s="639">
        <f>IFERROR(Feed!H143*Feed!E12,0)</f>
        <v>424.67675456073346</v>
      </c>
      <c r="C6" s="484">
        <f>IFERROR(Feed!I143*Feed!N12,0)</f>
        <v>590.3681485022588</v>
      </c>
      <c r="D6" s="484">
        <f>IFERROR(Feed!J143*Feed!W12,0)</f>
        <v>0</v>
      </c>
      <c r="E6" s="244">
        <f>VLOOKUP(INPUTS!$D$69,'Crop parameters'!$A$2:$Z$43,4,FALSE)*1000</f>
        <v>0</v>
      </c>
      <c r="F6" s="404">
        <f>INPUTS!$E$84</f>
        <v>1</v>
      </c>
      <c r="G6" s="244">
        <f>VLOOKUP(INPUTS!$D$69,'Crop parameters'!$A$2:$Z$43,8,FALSE)*1000</f>
        <v>0</v>
      </c>
      <c r="H6" s="404">
        <f>IF(INPUTS!$E$69="Residue",INPUTS!$F$84,0)</f>
        <v>0</v>
      </c>
      <c r="I6" s="404">
        <f>IFERROR(IF(INPUTS!$E$69="Main",B6/(E6*F6),B6/(G6*H6)),0)</f>
        <v>0</v>
      </c>
      <c r="J6" s="404">
        <f>IFERROR(IF(INPUTS!$E$69="Main",C6/(E6*F6),C6/(G6*H6)),0)</f>
        <v>0</v>
      </c>
      <c r="K6" s="404">
        <f>IFERROR(IF(INPUTS!$E$69="Main",D6/(E6*F6),D6/(G6*H6)),0)</f>
        <v>0</v>
      </c>
      <c r="L6" s="696">
        <f t="shared" ref="L6:L14" si="0">IF(H6&gt;0,I6*(E6*F6/(E6*F6+G6*H6)),0)</f>
        <v>0</v>
      </c>
      <c r="M6" s="704">
        <f t="shared" ref="M6:M14" si="1">IF(H6&gt;0,J6*(E6*F6/(E6*F6+G6*H6)),0)</f>
        <v>0</v>
      </c>
      <c r="N6" s="704">
        <f>IF(H6&gt;0,K6*(F6*G6/(E6*F6+G6*H6)),0)</f>
        <v>0</v>
      </c>
      <c r="O6" s="696">
        <f>IFERROR(IF(H6&gt;0,I6*(G6*H6/(E6*F6+G6*H6)),I6*(E6*F6+G6*H6)/(E6*F6+G6*H6)),0)</f>
        <v>0</v>
      </c>
      <c r="P6" s="696">
        <f>IFERROR(IF(H6&gt;0,J6*(G6*H6/(E6*F6+G6*H6)),J6*(E6*F6+G6*H6)/(E6*F6+G6*H6)),0)</f>
        <v>0</v>
      </c>
      <c r="Q6" s="696">
        <f>IFERROR(IF(H6&gt;0,K6*(G6*H6/(E6*F6+G6*H6)),K6*(E6*F6+G6*H6)/(E6*F6+G6*H6)),0)</f>
        <v>0</v>
      </c>
      <c r="R6" s="639">
        <f>IFERROR(Feed!H143*Feed!F12,0)</f>
        <v>212.33837728036673</v>
      </c>
      <c r="S6" s="484">
        <f>IFERROR(Feed!I143*Feed!O12,0)</f>
        <v>98.394691417043134</v>
      </c>
      <c r="T6" s="484">
        <f>IFERROR(Feed!J143*Feed!X12,0)</f>
        <v>0</v>
      </c>
      <c r="U6" s="244">
        <f>VLOOKUP(INPUTS!$D$70,'Crop parameters'!$A$2:$Z$43,4,FALSE)*1000</f>
        <v>22050</v>
      </c>
      <c r="V6" s="404">
        <f>INPUTS!$E$85</f>
        <v>1</v>
      </c>
      <c r="W6" s="244">
        <f>VLOOKUP(INPUTS!$D$70,'Crop parameters'!$A$2:$Z$43,8,FALSE)*1000</f>
        <v>11666.666666666662</v>
      </c>
      <c r="X6" s="404">
        <f>IF(INPUTS!$E$70="Residue",INPUTS!$F$85,0)</f>
        <v>0</v>
      </c>
      <c r="Y6" s="404">
        <f>IFERROR(IF(INPUTS!$E$70="Main",R6/(U6*V6),R6/(W6*X6)),0)</f>
        <v>9.6298583800619834E-3</v>
      </c>
      <c r="Z6" s="404">
        <f>IFERROR(IF(INPUTS!$E$70="Main",S6/(U6*V6),S6/(W6*X6)),0)</f>
        <v>4.4623442819520694E-3</v>
      </c>
      <c r="AA6" s="404">
        <f>IFERROR(IF(INPUTS!$E$70="Main",T6/(U6*V6),T6/(W6*X6)),0)</f>
        <v>0</v>
      </c>
      <c r="AB6" s="696">
        <f t="shared" ref="AB6:AB19" si="2">IF(X6&gt;0,Y6*(U6*V6/(U6*V6+W6*X6)),0)</f>
        <v>0</v>
      </c>
      <c r="AC6" s="704">
        <f t="shared" ref="AC6:AC19" si="3">IF(X6&gt;0,Z6*(U6*V6/(U6*V6+W6*X6)),0)</f>
        <v>0</v>
      </c>
      <c r="AD6" s="704">
        <f>IF(X6&gt;0,AA6*(V6*W6/(U6*V6+W6*X6)),0)</f>
        <v>0</v>
      </c>
      <c r="AE6" s="696">
        <f>IFERROR(IF(X6&gt;0,Y6*(W6*X6/(U6*V6+W6*X6)),Y6*(U6*V6+W6*X6)/(U6*V6+W6*X6)),0)</f>
        <v>9.6298583800619834E-3</v>
      </c>
      <c r="AF6" s="696">
        <f>IFERROR(IF(X6&gt;0,Z6*(W6*X6/(U6*V6+W6*X6)),Z6*(U6*V6+W6*X6)/(U6*V6+W6*X6)),0)</f>
        <v>4.4623442819520694E-3</v>
      </c>
      <c r="AG6" s="696">
        <f>IFERROR(IF(X6&gt;0,AA6*(W6*X6/(U6*V6+W6*X6)),AA6*(U6*V6+W6*X6)/(U6*V6+W6*X6)),0)</f>
        <v>0</v>
      </c>
      <c r="AH6" s="639">
        <f>IFERROR(Feed!H143*Feed!G12,0)</f>
        <v>869.45487550400821</v>
      </c>
      <c r="AI6" s="484">
        <f>IFERROR(Feed!I143*Feed!P12,0)</f>
        <v>387.92107091169254</v>
      </c>
      <c r="AJ6" s="484">
        <f>IFERROR(Feed!J143*Feed!Y12,0)</f>
        <v>0</v>
      </c>
      <c r="AK6" s="244">
        <f>VLOOKUP(INPUTS!$D$71,'Crop parameters'!$A$2:$Z$43,4,FALSE)*1000</f>
        <v>13500</v>
      </c>
      <c r="AL6" s="404">
        <f>INPUTS!$E$86</f>
        <v>1</v>
      </c>
      <c r="AM6" s="244">
        <f>VLOOKUP(INPUTS!$D$71,'Crop parameters'!$A$2:$Z$43,8,FALSE)*1000</f>
        <v>5999.9999999999982</v>
      </c>
      <c r="AN6" s="404">
        <f>IF(INPUTS!$E$71="Residue",INPUTS!$F$86,0)</f>
        <v>0</v>
      </c>
      <c r="AO6" s="404">
        <f>IFERROR(IF(INPUTS!$E$71="Main",AH6/(AK6*AL6),AH6/(AM6*AN6)),0)</f>
        <v>6.4404064852148751E-2</v>
      </c>
      <c r="AP6" s="404">
        <f>IFERROR(IF(INPUTS!$E$71="Main",AI6/(AK6*AL6),AI6/(AM6*AN6)),0)</f>
        <v>2.8734894141606855E-2</v>
      </c>
      <c r="AQ6" s="404">
        <f>IFERROR(IF(INPUTS!$E$71="Main",AJ6/(AK6*AL6),AJ6/(AM6*AN6)),0)</f>
        <v>0</v>
      </c>
      <c r="AR6" s="696">
        <f t="shared" ref="AR6:AR19" si="4">IF(AN6&gt;0,AO6*(AK6*AL6/(AK6*AL6+AM6*AN6)),0)</f>
        <v>0</v>
      </c>
      <c r="AS6" s="704">
        <f t="shared" ref="AS6:AS19" si="5">IF(AN6&gt;0,AP6*(AK6*AL6/(AK6*AL6+AM6*AN6)),0)</f>
        <v>0</v>
      </c>
      <c r="AT6" s="704">
        <f>IF(AN6&gt;0,AQ6*(AL6*AM6/(AK6*AL6+AM6*AN6)),0)</f>
        <v>0</v>
      </c>
      <c r="AU6" s="696">
        <f>IFERROR(IF(AN6&gt;0,AO6*(AM6*AN6/(AK6*AL6+AM6*AN6)),AO6*(AK6*AL6+AM6*AN6)/(AK6*AL6+AM6*AN6)),0)</f>
        <v>6.4404064852148751E-2</v>
      </c>
      <c r="AV6" s="696">
        <f>IFERROR(IF(AN6&gt;0,AP6*(AM6*AN6/(AK6*AL6+AM6*AN6)),AP6*(AK6*AL6+AM6*AN6)/(AK6*AL6+AM6*AN6)),0)</f>
        <v>2.8734894141606855E-2</v>
      </c>
      <c r="AW6" s="696">
        <f>IFERROR(IF(AN6&gt;0,AQ6*(AM6*AN6/(AK6*AL6+AM6*AN6)),AQ6*(AK6*AL6+AM6*AN6)/(AK6*AL6+AM6*AN6)),0)</f>
        <v>0</v>
      </c>
      <c r="AX6" s="698">
        <f>IFERROR(Feed!H143*Feed!H12,0)</f>
        <v>103.8098733370682</v>
      </c>
      <c r="AY6" s="484">
        <f>IFERROR(Feed!I143*Feed!Q12,0)</f>
        <v>541.17080279373727</v>
      </c>
      <c r="AZ6" s="484">
        <f>IFERROR(Feed!J143*Feed!Z12,0)</f>
        <v>0</v>
      </c>
      <c r="BA6" s="244">
        <f>VLOOKUP(INPUTS!$D$72,'Crop parameters'!$A$2:$Z$43,4,FALSE)*1000</f>
        <v>19800</v>
      </c>
      <c r="BB6" s="404">
        <f>INPUTS!$E$87</f>
        <v>1</v>
      </c>
      <c r="BC6" s="244">
        <f>VLOOKUP(INPUTS!$D$72,'Crop parameters'!$A$2:$Z$43,8,FALSE)*1000</f>
        <v>9999.9999999999964</v>
      </c>
      <c r="BD6" s="404">
        <f>IF(INPUTS!$E$72="Residue",INPUTS!$F$87,0)</f>
        <v>0</v>
      </c>
      <c r="BE6" s="404">
        <f>IFERROR(IF(INPUTS!$E$72="Main",AX6/(BA6*BB6),AX6/(BC6*BD6)),0)</f>
        <v>5.2429228958115253E-3</v>
      </c>
      <c r="BF6" s="404">
        <f>IFERROR(IF(INPUTS!$E$72="Main",AY6/(BA6*BB6),AY6/(BC6*BD6)),0)</f>
        <v>2.7331858726956426E-2</v>
      </c>
      <c r="BG6" s="404">
        <f>IFERROR(IF(INPUTS!$E$72="Main",AZ6/(BA6*BB6),AZ6/(BC6*BD6)),0)</f>
        <v>0</v>
      </c>
      <c r="BH6" s="696">
        <f t="shared" ref="BH6:BH19" si="6">IF(BD6&gt;0,BE6*(BA6*BB6/(BA6*BB6+BC6*BD6)),0)</f>
        <v>0</v>
      </c>
      <c r="BI6" s="704">
        <f t="shared" ref="BI6:BI19" si="7">IF(BD6&gt;0,BF6*(BA6*BB6/(BA6*BB6+BC6*BD6)),0)</f>
        <v>0</v>
      </c>
      <c r="BJ6" s="704">
        <f>IF(BD6&gt;0,BG6*(BB6*BC6/(BA6*BB6+BC6*BD6)),0)</f>
        <v>0</v>
      </c>
      <c r="BK6" s="696">
        <f>IFERROR(IF(BD6&gt;0,BE6*(BC6*BD6/(BA6*BB6+BC6*BD6)),BE6*(BA6*BB6+BC6*BD6)/(BA6*BB6+BC6*BD6)),0)</f>
        <v>5.2429228958115253E-3</v>
      </c>
      <c r="BL6" s="696">
        <f>IFERROR(IF(BD6&gt;0,BF6*(BC6*BD6/(BA6*BB6+BC6*BD6)),BF6*(BA6*BB6+BC6*BD6)/(BA6*BB6+BC6*BD6)),0)</f>
        <v>2.7331858726956426E-2</v>
      </c>
      <c r="BM6" s="696">
        <f>IFERROR(IF(BD6&gt;0,BG6*(BC6*BD6/(BA6*BB6+BC6*BD6)),BG6*(BA6*BB6+BC6*BD6)/(BA6*BB6+BC6*BD6)),0)</f>
        <v>0</v>
      </c>
      <c r="BN6" s="639">
        <f>IFERROR(Feed!H143*Feed!I12,0)</f>
        <v>164.20834509681694</v>
      </c>
      <c r="BO6" s="484">
        <f>IFERROR(Feed!I143*Feed!R12,0)</f>
        <v>1070.0422691603439</v>
      </c>
      <c r="BP6" s="484">
        <f>IFERROR(Feed!J143*Feed!AA12,0)</f>
        <v>0</v>
      </c>
      <c r="BQ6" s="244">
        <f>VLOOKUP(INPUTS!$D$73,'Crop parameters'!$A$2:$Z$43,4,FALSE)*1000</f>
        <v>1299</v>
      </c>
      <c r="BR6" s="404">
        <f>INPUTS!$E$88</f>
        <v>0.4</v>
      </c>
      <c r="BS6" s="244">
        <f>VLOOKUP(INPUTS!$D$73,'Crop parameters'!$A$2:$Z$43,8,FALSE)*1000</f>
        <v>3582.4421538461534</v>
      </c>
      <c r="BT6" s="404">
        <f>IF(INPUTS!$E$73="Residue",INPUTS!$F$88,0)</f>
        <v>0.6</v>
      </c>
      <c r="BU6" s="404">
        <f>IFERROR(IF(INPUTS!$E$73="Main",BN6/(BQ6*BR6),BN6/(BS6*BT6)),0)</f>
        <v>7.6394973989331497E-2</v>
      </c>
      <c r="BV6" s="404">
        <f>IFERROR(IF(INPUTS!$E$73="Main",BO6/(BQ6*BR6),BO6/(BS6*BT6)),0)</f>
        <v>0.49781788661101556</v>
      </c>
      <c r="BW6" s="404">
        <f>IFERROR(IF(INPUTS!$E$73="Main",BP6/(BQ6*BR6),BP6/(BS6*BT6)),0)</f>
        <v>0</v>
      </c>
      <c r="BX6" s="696">
        <f t="shared" ref="BX6:BX19" si="8">IF(BT6&gt;0,BU6*(BQ6*BR6/(BQ6*BR6+BS6*BT6)),0)</f>
        <v>1.4872183381672253E-2</v>
      </c>
      <c r="BY6" s="704">
        <f t="shared" ref="BY6:BY19" si="9">IF(BT6&gt;0,BV6*(BQ6*BR6/(BQ6*BR6+BS6*BT6)),0)</f>
        <v>9.6912643774045404E-2</v>
      </c>
      <c r="BZ6" s="704">
        <f>IF(BT6&gt;0,BW6*(BR6*BS6/(BQ6*BR6+BS6*BT6)),0)</f>
        <v>0</v>
      </c>
      <c r="CA6" s="696">
        <f>IFERROR(IF(BT6&gt;0,BU6*(BS6*BT6/(BQ6*BR6+BS6*BT6)),BU6*(BQ6*BR6+BS6*BT6)/(BQ6*BR6+BS6*BT6)),0)</f>
        <v>6.1522790607659243E-2</v>
      </c>
      <c r="CB6" s="696">
        <f>IFERROR(IF(BT6&gt;0,BV6*(BS6*BT6/(BQ6*BR6+BS6*BT6)),BV6*(BQ6*BR6+BS6*BT6)/(BQ6*BR6+BS6*BT6)),0)</f>
        <v>0.40090524283697015</v>
      </c>
      <c r="CC6" s="696">
        <f>IFERROR(IF(BT6&gt;0,BW6*(BS6*BT6/(BQ6*BR6+BS6*BT6)),BW6*(BQ6*BR6+BS6*BT6)/(BQ6*BR6+BS6*BT6)),0)</f>
        <v>0</v>
      </c>
      <c r="CD6" s="639">
        <f>IFERROR(Feed!H143*Feed!J12,0)</f>
        <v>2038.4484218915206</v>
      </c>
      <c r="CE6" s="484">
        <f>IFERROR(Feed!I143*Feed!S12,0)</f>
        <v>983.94691417043146</v>
      </c>
      <c r="CF6" s="484">
        <f>IFERROR(Feed!J143*Feed!AB12,0)</f>
        <v>0</v>
      </c>
      <c r="CG6" s="244">
        <f>VLOOKUP(INPUTS!$D$74,'Crop parameters'!$A$2:$Z$43,4,FALSE)*1000</f>
        <v>13049.999999999998</v>
      </c>
      <c r="CH6" s="404">
        <f>INPUTS!$E$89</f>
        <v>1</v>
      </c>
      <c r="CI6" s="244">
        <f>VLOOKUP(INPUTS!$D$74,'Crop parameters'!$A$2:$Z$43,8,FALSE)*1000</f>
        <v>4999.9999999999982</v>
      </c>
      <c r="CJ6" s="404">
        <f>IF(INPUTS!$E$74="Residue",INPUTS!$F$89,0)</f>
        <v>0</v>
      </c>
      <c r="CK6" s="404">
        <f>IFERROR(IF(INPUTS!$E$74="Main",CD6/(CG6*CH6),CD6/(CI6*CJ6)),0)</f>
        <v>0.15620294420624681</v>
      </c>
      <c r="CL6" s="404">
        <f>IFERROR(IF(INPUTS!$E$74="Main",CE6/(CG6*CH6),CE6/(CI6*CJ6)),0)</f>
        <v>7.5398230970914304E-2</v>
      </c>
      <c r="CM6" s="404">
        <f>IFERROR(IF(INPUTS!$E$74="Main",CF6/(CG6*CH6),CF6/(CI6*CJ6)),0)</f>
        <v>0</v>
      </c>
      <c r="CN6" s="696">
        <f t="shared" ref="CN6:CN19" si="10">IF(CJ6&gt;0,CK6*(CG6*CH6/(CG6*CH6+CI6*CJ6)),0)</f>
        <v>0</v>
      </c>
      <c r="CO6" s="704">
        <f t="shared" ref="CO6:CO19" si="11">IF(CJ6&gt;0,CL6*(CG6*CH6/(CG6*CH6+CI6*CJ6)),0)</f>
        <v>0</v>
      </c>
      <c r="CP6" s="704">
        <f>IF(CJ6&gt;0,CM6*(CH6*CI6/(CG6*CH6+CI6*CJ6)),0)</f>
        <v>0</v>
      </c>
      <c r="CQ6" s="696">
        <f>IFERROR(IF(CJ6&gt;0,CK6*(CI6*CJ6/(CG6*CH6+CI6*CJ6)),CK6*(CG6*CH6+CI6*CJ6)/(CG6*CH6+CI6*CJ6)),0)</f>
        <v>0.15620294420624681</v>
      </c>
      <c r="CR6" s="696">
        <f>IFERROR(IF(CJ6&gt;0,CL6*(CI6*CJ6/(CG6*CH6+CI6*CJ6)),CL6*(CG6*CH6+CI6*CJ6)/(CG6*CH6+CI6*CJ6)),0)</f>
        <v>7.5398230970914304E-2</v>
      </c>
      <c r="CS6" s="696">
        <f>IFERROR(IF(CJ6&gt;0,CM6*(CI6*CJ6/(CG6*CH6+CI6*CJ6)),CM6*(CG6*CH6+CI6*CJ6)/(CG6*CH6+CI6*CJ6)),0)</f>
        <v>0</v>
      </c>
      <c r="CT6" s="639">
        <f>IFERROR(Feed!H143*Feed!K12,0)</f>
        <v>0</v>
      </c>
      <c r="CU6" s="484">
        <f>IFERROR(Feed!I143*Feed!T12,0)</f>
        <v>0</v>
      </c>
      <c r="CV6" s="484">
        <f>IFERROR(Feed!J143*Feed!AC12,0)</f>
        <v>0</v>
      </c>
      <c r="CW6" s="244">
        <f>VLOOKUP(INPUTS!$D$75,'Crop parameters'!$A$2:$Z$43,4,FALSE)*1000</f>
        <v>0</v>
      </c>
      <c r="CX6" s="404">
        <f>INPUTS!$E$90</f>
        <v>1</v>
      </c>
      <c r="CY6" s="244">
        <f>VLOOKUP(INPUTS!$D$75,'Crop parameters'!$A$2:$Z$43,8,FALSE)*1000</f>
        <v>0</v>
      </c>
      <c r="CZ6" s="404">
        <f>IF(INPUTS!$E$75="Residue",INPUTS!$F$90,0)</f>
        <v>0</v>
      </c>
      <c r="DA6" s="404">
        <f>IFERROR(IF(INPUTS!$E$75="Main",CT6/(CW6*CX6),CT6/(CY6*CZ6)),0)</f>
        <v>0</v>
      </c>
      <c r="DB6" s="404">
        <f>IFERROR(IF(INPUTS!$E$75="Main",CU6/(CW6*CX6),CU6/(CY6*CZ6)),0)</f>
        <v>0</v>
      </c>
      <c r="DC6" s="404">
        <f>IFERROR(IF(INPUTS!$E$75="Main",CV6/(CW6*CX6),CV6/(CY6*CZ6)),0)</f>
        <v>0</v>
      </c>
      <c r="DD6" s="696">
        <f t="shared" ref="DD6:DD19" si="12">IF(CZ6&gt;0,DA6*(CW6*CX6/(CW6*CX6+CY6*CZ6)),0)</f>
        <v>0</v>
      </c>
      <c r="DE6" s="704">
        <f t="shared" ref="DE6:DE19" si="13">IF(CZ6&gt;0,DB6*(CW6*CX6/(CW6*CX6+CY6*CZ6)),0)</f>
        <v>0</v>
      </c>
      <c r="DF6" s="704">
        <f>IF(CZ6&gt;0,DC6*(CX6*CY6/(CW6*CX6+CY6*CZ6)),0)</f>
        <v>0</v>
      </c>
      <c r="DG6" s="696">
        <f>IFERROR(IF(CZ6&gt;0,DA6*(CY6*CZ6/(CW6*CX6+CY6*CZ6)),DA6*(CW6*CX6+CY6*CZ6)/(CW6*CX6+CY6*CZ6)),0)</f>
        <v>0</v>
      </c>
      <c r="DH6" s="696">
        <f>IFERROR(IF(CZ6&gt;0,DB6*(CY6*CZ6/(CW6*CX6+CY6*CZ6)),DB6*(CW6*CX6+CY6*CZ6)/(CW6*CX6+CY6*CZ6)),0)</f>
        <v>0</v>
      </c>
      <c r="DI6" s="404">
        <f>IFERROR(IF(CZ6&gt;0,DC6*(CY6*CZ6/(CW6*CX6+CY6*CZ6)),DC6*(CW6*CX6+CY6*CZ6)/(CW6*CX6+CY6*CZ6)),0)</f>
        <v>0</v>
      </c>
      <c r="DJ6" s="641">
        <f>O6+AE6+AU6+BK6+CA6+CQ6+DG6</f>
        <v>0.29700258094192833</v>
      </c>
      <c r="DK6" s="641">
        <f t="shared" ref="DK6:DL6" si="14">P6+AF6+AV6+BL6+CB6+CR6+DH6</f>
        <v>0.53683257095839987</v>
      </c>
      <c r="DL6" s="641">
        <f t="shared" si="14"/>
        <v>0</v>
      </c>
    </row>
    <row r="7" spans="1:116">
      <c r="A7" s="474" t="str">
        <f>'Livestock parameters'!A3</f>
        <v>Steers/heifers</v>
      </c>
      <c r="B7" s="639">
        <f>IFERROR(Feed!H144*Feed!E19,0)</f>
        <v>517.03078013028824</v>
      </c>
      <c r="C7" s="484">
        <f>IFERROR(Feed!I144*Feed!N19,0)</f>
        <v>625.53494270973374</v>
      </c>
      <c r="D7" s="484">
        <f>IFERROR(Feed!J144*Feed!W19,0)</f>
        <v>0</v>
      </c>
      <c r="E7" s="244">
        <f>VLOOKUP(INPUTS!$D$69,'Crop parameters'!$A$2:$Z$43,4,FALSE)*1000</f>
        <v>0</v>
      </c>
      <c r="F7" s="404">
        <f>INPUTS!$E$84</f>
        <v>1</v>
      </c>
      <c r="G7" s="244">
        <f>VLOOKUP(INPUTS!$D$69,'Crop parameters'!$A$2:$Z$43,8,FALSE)*1000</f>
        <v>0</v>
      </c>
      <c r="H7" s="404">
        <f>IF(INPUTS!$E$69="Residue",INPUTS!$F$84,0)</f>
        <v>0</v>
      </c>
      <c r="I7" s="404">
        <f>IFERROR(IF(INPUTS!$E$69="Main",B7/(E7*F7),B7/(G7*H7)),0)</f>
        <v>0</v>
      </c>
      <c r="J7" s="404">
        <f>IFERROR(IF(INPUTS!$E$69="Main",C7/(E7*F7),C7/(G7*H7)),0)</f>
        <v>0</v>
      </c>
      <c r="K7" s="404">
        <f>IFERROR(IF(INPUTS!$E$69="Main",D7/(E7*F7),D7/(G7*H7)),0)</f>
        <v>0</v>
      </c>
      <c r="L7" s="696">
        <f t="shared" si="0"/>
        <v>0</v>
      </c>
      <c r="M7" s="704">
        <f t="shared" si="1"/>
        <v>0</v>
      </c>
      <c r="N7" s="704">
        <f t="shared" ref="N7:N19" si="15">IF(H7&gt;0,K7*(F7*G7/(E7*F7+G7*H7)),0)</f>
        <v>0</v>
      </c>
      <c r="O7" s="696">
        <f t="shared" ref="O7:O14" si="16">IFERROR(IF(H7&gt;0,I7*(G7*H7/(E7*F7+G7*H7)),I7*(E7*F7+G7*H7)/(E7*F7+G7*H7)),0)</f>
        <v>0</v>
      </c>
      <c r="P7" s="696">
        <f t="shared" ref="P7:P19" si="17">IFERROR(IF(H7&gt;0,J7*(G7*H7/(E7*F7+G7*H7)),J7*(E7*F7+G7*H7)/(E7*F7+G7*H7)),0)</f>
        <v>0</v>
      </c>
      <c r="Q7" s="696">
        <f t="shared" ref="Q7:Q19" si="18">IFERROR(IF(H7&gt;0,K7*(G7*H7/(E7*F7+G7*H7)),K7*(E7*F7+G7*H7)/(E7*F7+G7*H7)),0)</f>
        <v>0</v>
      </c>
      <c r="R7" s="639">
        <f>IFERROR(Feed!H144*Feed!F19,0)</f>
        <v>258.51539006514412</v>
      </c>
      <c r="S7" s="484">
        <f>IFERROR(Feed!I144*Feed!O19,0)</f>
        <v>104.25582378495562</v>
      </c>
      <c r="T7" s="484">
        <f>IFERROR(Feed!Z144*Feed!X19,0)</f>
        <v>0</v>
      </c>
      <c r="U7" s="244">
        <f>VLOOKUP(INPUTS!$D$70,'Crop parameters'!$A$2:$Z$43,4,FALSE)*1000</f>
        <v>22050</v>
      </c>
      <c r="V7" s="404">
        <f>INPUTS!$E$85</f>
        <v>1</v>
      </c>
      <c r="W7" s="244">
        <f>VLOOKUP(INPUTS!$D$70,'Crop parameters'!$A$2:$Z$43,8,FALSE)*1000</f>
        <v>11666.666666666662</v>
      </c>
      <c r="X7" s="404">
        <f>IF(INPUTS!$E$70="Residue",INPUTS!$F$85,0)</f>
        <v>0</v>
      </c>
      <c r="Y7" s="404">
        <f>IFERROR(IF(INPUTS!$E$70="Main",R7/(U7*V7),R7/(W7*X7)),0)</f>
        <v>1.172405397120835E-2</v>
      </c>
      <c r="Z7" s="404">
        <f>IFERROR(IF(INPUTS!$E$70="Main",S7/(U7*V7),S7/(W7*X7)),0)</f>
        <v>4.7281552736941328E-3</v>
      </c>
      <c r="AA7" s="404">
        <f>IFERROR(IF(INPUTS!$E$70="Main",T7/(U7*V7),T7/(W7*X7)),0)</f>
        <v>0</v>
      </c>
      <c r="AB7" s="696">
        <f t="shared" si="2"/>
        <v>0</v>
      </c>
      <c r="AC7" s="704">
        <f t="shared" si="3"/>
        <v>0</v>
      </c>
      <c r="AD7" s="704">
        <f t="shared" ref="AD7:AD19" si="19">IF(X7&gt;0,AA7*(V7*W7/(U7*V7+W7*X7)),0)</f>
        <v>0</v>
      </c>
      <c r="AE7" s="696">
        <f t="shared" ref="AE7:AE19" si="20">IFERROR(IF(X7&gt;0,Y7*(W7*X7/(U7*V7+W7*X7)),Y7*(U7*V7+W7*X7)/(U7*V7+W7*X7)),0)</f>
        <v>1.172405397120835E-2</v>
      </c>
      <c r="AF7" s="696">
        <f t="shared" ref="AF7:AF19" si="21">IFERROR(IF(X7&gt;0,Z7*(W7*X7/(U7*V7+W7*X7)),Z7*(U7*V7+W7*X7)/(U7*V7+W7*X7)),0)</f>
        <v>4.7281552736941328E-3</v>
      </c>
      <c r="AG7" s="696">
        <f t="shared" ref="AG7:AG19" si="22">IFERROR(IF(X7&gt;0,AA7*(W7*X7/(U7*V7+W7*X7)),AA7*(U7*V7+W7*X7)/(U7*V7+W7*X7)),0)</f>
        <v>0</v>
      </c>
      <c r="AH7" s="639">
        <f>IFERROR(Feed!H144*Feed!G19,0)</f>
        <v>1058.5343505200767</v>
      </c>
      <c r="AI7" s="484">
        <f>IFERROR(Feed!I144*Feed!P19,0)</f>
        <v>411.02858527218757</v>
      </c>
      <c r="AJ7" s="484">
        <f>IFERROR(Feed!J144*Feed!Y19,0)</f>
        <v>0</v>
      </c>
      <c r="AK7" s="244">
        <f>VLOOKUP(INPUTS!$D$71,'Crop parameters'!$A$2:$Z$43,4,FALSE)*1000</f>
        <v>13500</v>
      </c>
      <c r="AL7" s="404">
        <f>INPUTS!$E$86</f>
        <v>1</v>
      </c>
      <c r="AM7" s="244">
        <f>VLOOKUP(INPUTS!$D$71,'Crop parameters'!$A$2:$Z$43,8,FALSE)*1000</f>
        <v>5999.9999999999982</v>
      </c>
      <c r="AN7" s="404">
        <f>IF(INPUTS!$E$71="Residue",INPUTS!$F$86,0)</f>
        <v>0</v>
      </c>
      <c r="AO7" s="404">
        <f>IFERROR(IF(INPUTS!$E$71="Main",AH7/(AK7*AL7),AH7/(AM7*AN7)),0)</f>
        <v>7.8409951890376056E-2</v>
      </c>
      <c r="AP7" s="404">
        <f>IFERROR(IF(INPUTS!$E$71="Main",AI7/(AK7*AL7),AI7/(AM7*AN7)),0)</f>
        <v>3.0446561872013896E-2</v>
      </c>
      <c r="AQ7" s="404">
        <f>IFERROR(IF(INPUTS!$E$71="Main",AJ7/(AK7*AL7),AJ7/(AM7*AN7)),0)</f>
        <v>0</v>
      </c>
      <c r="AR7" s="696">
        <f t="shared" si="4"/>
        <v>0</v>
      </c>
      <c r="AS7" s="704">
        <f t="shared" si="5"/>
        <v>0</v>
      </c>
      <c r="AT7" s="704">
        <f t="shared" ref="AT7:AT19" si="23">IF(AN7&gt;0,AQ7*(AL7*AM7/(AK7*AL7+AM7*AN7)),0)</f>
        <v>0</v>
      </c>
      <c r="AU7" s="696">
        <f t="shared" ref="AU7:AU19" si="24">IFERROR(IF(AN7&gt;0,AO7*(AM7*AN7/(AK7*AL7+AM7*AN7)),AO7*(AK7*AL7+AM7*AN7)/(AK7*AL7+AM7*AN7)),0)</f>
        <v>7.8409951890376056E-2</v>
      </c>
      <c r="AV7" s="696">
        <f t="shared" ref="AV7:AV19" si="25">IFERROR(IF(AN7&gt;0,AP7*(AM7*AN7/(AK7*AL7+AM7*AN7)),AP7*(AK7*AL7+AM7*AN7)/(AK7*AL7+AM7*AN7)),0)</f>
        <v>3.0446561872013896E-2</v>
      </c>
      <c r="AW7" s="696">
        <f t="shared" ref="AW7:AW19" si="26">IFERROR(IF(AN7&gt;0,AQ7*(AM7*AN7/(AK7*AL7+AM7*AN7)),AQ7*(AK7*AL7+AM7*AN7)/(AK7*AL7+AM7*AN7)),0)</f>
        <v>0</v>
      </c>
      <c r="AX7" s="698">
        <f>IFERROR(Feed!H144*Feed!H19,0)</f>
        <v>126.38530180962603</v>
      </c>
      <c r="AY7" s="484">
        <f>IFERROR(Feed!I144*Feed!Q19,0)</f>
        <v>573.40703081725599</v>
      </c>
      <c r="AZ7" s="484">
        <f>IFERROR(Feed!J144*Feed!Z19,0)</f>
        <v>0</v>
      </c>
      <c r="BA7" s="244">
        <f>VLOOKUP(INPUTS!$D$72,'Crop parameters'!$A$2:$Z$43,4,FALSE)*1000</f>
        <v>19800</v>
      </c>
      <c r="BB7" s="404">
        <f>INPUTS!$E$87</f>
        <v>1</v>
      </c>
      <c r="BC7" s="244">
        <f>VLOOKUP(INPUTS!$D$72,'Crop parameters'!$A$2:$Z$43,8,FALSE)*1000</f>
        <v>9999.9999999999964</v>
      </c>
      <c r="BD7" s="404">
        <f>IF(INPUTS!$E$72="Residue",INPUTS!$F$87,0)</f>
        <v>0</v>
      </c>
      <c r="BE7" s="404">
        <f>IFERROR(IF(INPUTS!$E$72="Main",AX7/(BA7*BB7),AX7/(BC7*BD7)),0)</f>
        <v>6.3830960509912134E-3</v>
      </c>
      <c r="BF7" s="404">
        <f>IFERROR(IF(INPUTS!$E$72="Main",AY7/(BA7*BB7),AY7/(BC7*BD7)),0)</f>
        <v>2.8959951051376564E-2</v>
      </c>
      <c r="BG7" s="404">
        <f>IFERROR(IF(INPUTS!$E$72="Main",AZ7/(BA7*BB7),AZ7/(BC7*BD7)),0)</f>
        <v>0</v>
      </c>
      <c r="BH7" s="696">
        <f t="shared" si="6"/>
        <v>0</v>
      </c>
      <c r="BI7" s="704">
        <f t="shared" si="7"/>
        <v>0</v>
      </c>
      <c r="BJ7" s="704">
        <f t="shared" ref="BJ7:BJ19" si="27">IF(BD7&gt;0,BG7*(BB7*BC7/(BA7*BB7+BC7*BD7)),0)</f>
        <v>0</v>
      </c>
      <c r="BK7" s="696">
        <f t="shared" ref="BK7:BK19" si="28">IFERROR(IF(BD7&gt;0,BE7*(BC7*BD7/(BA7*BB7+BC7*BD7)),BE7*(BA7*BB7+BC7*BD7)/(BA7*BB7+BC7*BD7)),0)</f>
        <v>6.3830960509912134E-3</v>
      </c>
      <c r="BL7" s="696">
        <f t="shared" ref="BL7:BL19" si="29">IFERROR(IF(BD7&gt;0,BF7*(BC7*BD7/(BA7*BB7+BC7*BD7)),BF7*(BA7*BB7+BC7*BD7)/(BA7*BB7+BC7*BD7)),0)</f>
        <v>2.8959951051376564E-2</v>
      </c>
      <c r="BM7" s="696">
        <f t="shared" ref="BM7:BM19" si="30">IFERROR(IF(BD7&gt;0,BG7*(BC7*BD7/(BA7*BB7+BC7*BD7)),BG7*(BA7*BB7+BC7*BD7)/(BA7*BB7+BC7*BD7)),0)</f>
        <v>0</v>
      </c>
      <c r="BN7" s="639">
        <f>IFERROR(Feed!H144*Feed!I19,0)</f>
        <v>199.91856831704482</v>
      </c>
      <c r="BO7" s="484">
        <f>IFERROR(Feed!I144*Feed!R19,0)</f>
        <v>1133.7820836613923</v>
      </c>
      <c r="BP7" s="484">
        <f>IFERROR(Feed!J144*Feed!AA19,0)</f>
        <v>0</v>
      </c>
      <c r="BQ7" s="244">
        <f>VLOOKUP(INPUTS!$D$73,'Crop parameters'!$A$2:$Z$43,4,FALSE)*1000</f>
        <v>1299</v>
      </c>
      <c r="BR7" s="404">
        <f>INPUTS!$E$88</f>
        <v>0.4</v>
      </c>
      <c r="BS7" s="244">
        <f>VLOOKUP(INPUTS!$D$73,'Crop parameters'!$A$2:$Z$43,8,FALSE)*1000</f>
        <v>3582.4421538461534</v>
      </c>
      <c r="BT7" s="404">
        <f>IF(INPUTS!$E$73="Residue",INPUTS!$F$88,0)</f>
        <v>0.6</v>
      </c>
      <c r="BU7" s="404">
        <f>IFERROR(IF(INPUTS!$E$73="Main",BN7/(BQ7*BR7),BN7/(BS7*BT7)),0)</f>
        <v>9.3008511945968583E-2</v>
      </c>
      <c r="BV7" s="404">
        <f>IFERROR(IF(INPUTS!$E$73="Main",BO7/(BQ7*BR7),BO7/(BS7*BT7)),0)</f>
        <v>0.52747168689760526</v>
      </c>
      <c r="BW7" s="404">
        <f>IFERROR(IF(INPUTS!$E$73="Main",BP7/(BQ7*BR7),BP7/(BS7*BT7)),0)</f>
        <v>0</v>
      </c>
      <c r="BX7" s="696">
        <f t="shared" si="8"/>
        <v>1.8106422104549279E-2</v>
      </c>
      <c r="BY7" s="704">
        <f t="shared" si="9"/>
        <v>0.10268549416976953</v>
      </c>
      <c r="BZ7" s="704">
        <f t="shared" ref="BZ7:BZ19" si="31">IF(BT7&gt;0,BW7*(BR7*BS7/(BQ7*BR7+BS7*BT7)),0)</f>
        <v>0</v>
      </c>
      <c r="CA7" s="696">
        <f t="shared" ref="CA7:CA19" si="32">IFERROR(IF(BT7&gt;0,BU7*(BS7*BT7/(BQ7*BR7+BS7*BT7)),BU7*(BQ7*BR7+BS7*BT7)/(BQ7*BR7+BS7*BT7)),0)</f>
        <v>7.49020898414193E-2</v>
      </c>
      <c r="CB7" s="696">
        <f t="shared" ref="CB7:CB19" si="33">IFERROR(IF(BT7&gt;0,BV7*(BS7*BT7/(BQ7*BR7+BS7*BT7)),BV7*(BQ7*BR7+BS7*BT7)/(BQ7*BR7+BS7*BT7)),0)</f>
        <v>0.42478619272783574</v>
      </c>
      <c r="CC7" s="696">
        <f t="shared" ref="CC7:CC19" si="34">IFERROR(IF(BT7&gt;0,BW7*(BS7*BT7/(BQ7*BR7+BS7*BT7)),BW7*(BQ7*BR7+BS7*BT7)/(BQ7*BR7+BS7*BT7)),0)</f>
        <v>0</v>
      </c>
      <c r="CD7" s="639">
        <f>IFERROR(Feed!H144*Feed!J19,0)</f>
        <v>2481.7477446253838</v>
      </c>
      <c r="CE7" s="484">
        <f>IFERROR(Feed!I144*Feed!S19,0)</f>
        <v>1042.5582378495565</v>
      </c>
      <c r="CF7" s="484">
        <f>IFERROR(Feed!J144*Feed!AB19,0)</f>
        <v>0</v>
      </c>
      <c r="CG7" s="244">
        <f>VLOOKUP(INPUTS!$D$74,'Crop parameters'!$A$2:$Z$43,4,FALSE)*1000</f>
        <v>13049.999999999998</v>
      </c>
      <c r="CH7" s="404">
        <f>INPUTS!$E$89</f>
        <v>1</v>
      </c>
      <c r="CI7" s="244">
        <f>VLOOKUP(INPUTS!$D$74,'Crop parameters'!$A$2:$Z$43,8,FALSE)*1000</f>
        <v>4999.9999999999982</v>
      </c>
      <c r="CJ7" s="404">
        <f>IF(INPUTS!$E$74="Residue",INPUTS!$F$89,0)</f>
        <v>0</v>
      </c>
      <c r="CK7" s="404">
        <f>IFERROR(IF(INPUTS!$E$74="Main",CD7/(CG7*CH7),CD7/(CI7*CJ7)),0)</f>
        <v>0.19017224096746238</v>
      </c>
      <c r="CL7" s="404">
        <f>IFERROR(IF(INPUTS!$E$74="Main",CE7/(CG7*CH7),CE7/(CI7*CJ7)),0)</f>
        <v>7.9889520141728482E-2</v>
      </c>
      <c r="CM7" s="404">
        <f>IFERROR(IF(INPUTS!$E$74="Main",CF7/(CG7*CH7),CF7/(CI7*CJ7)),0)</f>
        <v>0</v>
      </c>
      <c r="CN7" s="696">
        <f t="shared" si="10"/>
        <v>0</v>
      </c>
      <c r="CO7" s="704">
        <f t="shared" si="11"/>
        <v>0</v>
      </c>
      <c r="CP7" s="704">
        <f t="shared" ref="CP7:CP19" si="35">IF(CJ7&gt;0,CM7*(CH7*CI7/(CG7*CH7+CI7*CJ7)),0)</f>
        <v>0</v>
      </c>
      <c r="CQ7" s="696">
        <f t="shared" ref="CQ7:CQ19" si="36">IFERROR(IF(CJ7&gt;0,CK7*(CI7*CJ7/(CG7*CH7+CI7*CJ7)),CK7*(CG7*CH7+CI7*CJ7)/(CG7*CH7+CI7*CJ7)),0)</f>
        <v>0.19017224096746238</v>
      </c>
      <c r="CR7" s="696">
        <f t="shared" ref="CR7:CR19" si="37">IFERROR(IF(CJ7&gt;0,CL7*(CI7*CJ7/(CG7*CH7+CI7*CJ7)),CL7*(CG7*CH7+CI7*CJ7)/(CG7*CH7+CI7*CJ7)),0)</f>
        <v>7.9889520141728482E-2</v>
      </c>
      <c r="CS7" s="696">
        <f t="shared" ref="CS7:CS19" si="38">IFERROR(IF(CJ7&gt;0,CM7*(CI7*CJ7/(CG7*CH7+CI7*CJ7)),CM7*(CG7*CH7+CI7*CJ7)/(CG7*CH7+CI7*CJ7)),0)</f>
        <v>0</v>
      </c>
      <c r="CT7" s="639">
        <f>IFERROR(Feed!H144*Feed!K19,0)</f>
        <v>0</v>
      </c>
      <c r="CU7" s="484">
        <f>IFERROR(Feed!I144*Feed!T19,0)</f>
        <v>0</v>
      </c>
      <c r="CV7" s="484">
        <f>IFERROR(Feed!J144*Feed!AC19,0)</f>
        <v>0</v>
      </c>
      <c r="CW7" s="244">
        <f>VLOOKUP(INPUTS!$D$75,'Crop parameters'!$A$2:$Z$43,4,FALSE)*1000</f>
        <v>0</v>
      </c>
      <c r="CX7" s="404">
        <f>INPUTS!$E$90</f>
        <v>1</v>
      </c>
      <c r="CY7" s="244">
        <f>VLOOKUP(INPUTS!$D$75,'Crop parameters'!$A$2:$Z$43,8,FALSE)*1000</f>
        <v>0</v>
      </c>
      <c r="CZ7" s="404">
        <f>IF(INPUTS!$E$75="Residue",INPUTS!$F$90,0)</f>
        <v>0</v>
      </c>
      <c r="DA7" s="404">
        <f>IFERROR(IF(INPUTS!$E$75="Main",CT7/(CW7*CX7),CT7/(CY7*CZ7)),0)</f>
        <v>0</v>
      </c>
      <c r="DB7" s="404">
        <f>IFERROR(IF(INPUTS!$E$75="Main",CU7/(CW7*CX7),CU7/(CY7*CZ7)),0)</f>
        <v>0</v>
      </c>
      <c r="DC7" s="404">
        <f>IFERROR(IF(INPUTS!$E$75="Main",CV7/(CW7*CX7),CV7/(CY7*CZ7)),0)</f>
        <v>0</v>
      </c>
      <c r="DD7" s="696">
        <f t="shared" si="12"/>
        <v>0</v>
      </c>
      <c r="DE7" s="704">
        <f t="shared" si="13"/>
        <v>0</v>
      </c>
      <c r="DF7" s="704">
        <f t="shared" ref="DF7:DF19" si="39">IF(CZ7&gt;0,DC7*(CX7*CY7/(CW7*CX7+CY7*CZ7)),0)</f>
        <v>0</v>
      </c>
      <c r="DG7" s="696">
        <f t="shared" ref="DG7:DG19" si="40">IFERROR(IF(CZ7&gt;0,DA7*(CY7*CZ7/(CW7*CX7+CY7*CZ7)),DA7*(CW7*CX7+CY7*CZ7)/(CW7*CX7+CY7*CZ7)),0)</f>
        <v>0</v>
      </c>
      <c r="DH7" s="696">
        <f t="shared" ref="DH7:DH19" si="41">IFERROR(IF(CZ7&gt;0,DB7*(CY7*CZ7/(CW7*CX7+CY7*CZ7)),DB7*(CW7*CX7+CY7*CZ7)/(CW7*CX7+CY7*CZ7)),0)</f>
        <v>0</v>
      </c>
      <c r="DI7" s="404">
        <f t="shared" ref="DI7:DI19" si="42">IFERROR(IF(CZ7&gt;0,DC7*(CY7*CZ7/(CW7*CX7+CY7*CZ7)),DC7*(CW7*CX7+CY7*CZ7)/(CW7*CX7+CY7*CZ7)),0)</f>
        <v>0</v>
      </c>
      <c r="DJ7" s="641">
        <f t="shared" ref="DJ7:DJ19" si="43">O7+AE7+AU7+BK7+CA7+CQ7+DG7</f>
        <v>0.36159143272145733</v>
      </c>
      <c r="DK7" s="641">
        <f t="shared" ref="DK7:DK19" si="44">P7+AF7+AV7+BL7+CB7+CR7+DH7</f>
        <v>0.56881038106664883</v>
      </c>
      <c r="DL7" s="641">
        <f t="shared" ref="DL7:DL19" si="45">Q7+AG7+AW7+BM7+CC7+CS7+DI7</f>
        <v>0</v>
      </c>
    </row>
    <row r="8" spans="1:116">
      <c r="A8" s="474">
        <f>'Livestock parameters'!A4</f>
        <v>0</v>
      </c>
      <c r="B8" s="639">
        <f>IFERROR(Feed!H145*Feed!E26,0)</f>
        <v>0</v>
      </c>
      <c r="C8" s="484">
        <f>IFERROR(Feed!I145*Feed!N26,0)</f>
        <v>0</v>
      </c>
      <c r="D8" s="484">
        <f>IFERROR(Feed!J145*Feed!W26,0)</f>
        <v>0</v>
      </c>
      <c r="E8" s="244">
        <f>VLOOKUP(INPUTS!$D$69,'Crop parameters'!$A$2:$Z$43,4,FALSE)*1000</f>
        <v>0</v>
      </c>
      <c r="F8" s="404">
        <f>INPUTS!$E$84</f>
        <v>1</v>
      </c>
      <c r="G8" s="244">
        <f>VLOOKUP(INPUTS!$D$69,'Crop parameters'!$A$2:$Z$43,8,FALSE)*1000</f>
        <v>0</v>
      </c>
      <c r="H8" s="404">
        <f>IF(INPUTS!$E$69="Residue",INPUTS!$F$84,0)</f>
        <v>0</v>
      </c>
      <c r="I8" s="404">
        <f>IFERROR(IF(INPUTS!$E$69="Main",B8/(E8*F8),B8/(G8*H8)),0)</f>
        <v>0</v>
      </c>
      <c r="J8" s="404">
        <f>IFERROR(IF(INPUTS!$E$69="Main",C8/(E8*F8),C8/(G8*H8)),0)</f>
        <v>0</v>
      </c>
      <c r="K8" s="404">
        <f>IFERROR(IF(INPUTS!$E$69="Main",D8/(E8*F8),D8/(G8*H8)),0)</f>
        <v>0</v>
      </c>
      <c r="L8" s="696">
        <f t="shared" si="0"/>
        <v>0</v>
      </c>
      <c r="M8" s="704">
        <f t="shared" si="1"/>
        <v>0</v>
      </c>
      <c r="N8" s="704">
        <f t="shared" si="15"/>
        <v>0</v>
      </c>
      <c r="O8" s="696">
        <f t="shared" si="16"/>
        <v>0</v>
      </c>
      <c r="P8" s="696">
        <f t="shared" si="17"/>
        <v>0</v>
      </c>
      <c r="Q8" s="696">
        <f t="shared" si="18"/>
        <v>0</v>
      </c>
      <c r="R8" s="639">
        <f>IFERROR(Feed!H145*Feed!F26,0)</f>
        <v>0</v>
      </c>
      <c r="S8" s="484">
        <f>IFERROR(Feed!I145*Feed!O26,0)</f>
        <v>0</v>
      </c>
      <c r="T8" s="484">
        <f>IFERROR(Feed!Z145*Feed!X26,0)</f>
        <v>0</v>
      </c>
      <c r="U8" s="244">
        <f>VLOOKUP(INPUTS!$D$70,'Crop parameters'!$A$2:$Z$43,4,FALSE)*1000</f>
        <v>22050</v>
      </c>
      <c r="V8" s="404">
        <f>INPUTS!$E$85</f>
        <v>1</v>
      </c>
      <c r="W8" s="244">
        <f>VLOOKUP(INPUTS!$D$70,'Crop parameters'!$A$2:$Z$43,8,FALSE)*1000</f>
        <v>11666.666666666662</v>
      </c>
      <c r="X8" s="404">
        <f>IF(INPUTS!$E$70="Residue",INPUTS!$F$85,0)</f>
        <v>0</v>
      </c>
      <c r="Y8" s="404">
        <f>IFERROR(IF(INPUTS!$E$70="Main",R8/(U8*V8),R8/(W8*X8)),0)</f>
        <v>0</v>
      </c>
      <c r="Z8" s="404">
        <f>IFERROR(IF(INPUTS!$E$70="Main",S8/(U8*V8),S8/(W8*X8)),0)</f>
        <v>0</v>
      </c>
      <c r="AA8" s="404">
        <f>IFERROR(IF(INPUTS!$E$70="Main",T8/(U8*V8),T8/(W8*X8)),0)</f>
        <v>0</v>
      </c>
      <c r="AB8" s="696">
        <f t="shared" si="2"/>
        <v>0</v>
      </c>
      <c r="AC8" s="704">
        <f t="shared" si="3"/>
        <v>0</v>
      </c>
      <c r="AD8" s="704">
        <f t="shared" si="19"/>
        <v>0</v>
      </c>
      <c r="AE8" s="696">
        <f t="shared" si="20"/>
        <v>0</v>
      </c>
      <c r="AF8" s="696">
        <f t="shared" si="21"/>
        <v>0</v>
      </c>
      <c r="AG8" s="696">
        <f t="shared" si="22"/>
        <v>0</v>
      </c>
      <c r="AH8" s="639">
        <f>IFERROR(Feed!H145*Feed!G26,0)</f>
        <v>0</v>
      </c>
      <c r="AI8" s="484">
        <f>IFERROR(Feed!I145*Feed!P26,0)</f>
        <v>0</v>
      </c>
      <c r="AJ8" s="484">
        <f>IFERROR(Feed!J145*Feed!Y26,0)</f>
        <v>0</v>
      </c>
      <c r="AK8" s="244">
        <f>VLOOKUP(INPUTS!$D$71,'Crop parameters'!$A$2:$Z$43,4,FALSE)*1000</f>
        <v>13500</v>
      </c>
      <c r="AL8" s="404">
        <f>INPUTS!$E$86</f>
        <v>1</v>
      </c>
      <c r="AM8" s="244">
        <f>VLOOKUP(INPUTS!$D$71,'Crop parameters'!$A$2:$Z$43,8,FALSE)*1000</f>
        <v>5999.9999999999982</v>
      </c>
      <c r="AN8" s="404">
        <f>IF(INPUTS!$E$71="Residue",INPUTS!$F$86,0)</f>
        <v>0</v>
      </c>
      <c r="AO8" s="404">
        <f>IFERROR(IF(INPUTS!$E$71="Main",AH8/(AK8*AL8),AH8/(AM8*AN8)),0)</f>
        <v>0</v>
      </c>
      <c r="AP8" s="404">
        <f>IFERROR(IF(INPUTS!$E$71="Main",AI8/(AK8*AL8),AI8/(AM8*AN8)),0)</f>
        <v>0</v>
      </c>
      <c r="AQ8" s="404">
        <f>IFERROR(IF(INPUTS!$E$71="Main",AJ8/(AK8*AL8),AJ8/(AM8*AN8)),0)</f>
        <v>0</v>
      </c>
      <c r="AR8" s="696">
        <f t="shared" si="4"/>
        <v>0</v>
      </c>
      <c r="AS8" s="704">
        <f t="shared" si="5"/>
        <v>0</v>
      </c>
      <c r="AT8" s="704">
        <f t="shared" si="23"/>
        <v>0</v>
      </c>
      <c r="AU8" s="696">
        <f t="shared" si="24"/>
        <v>0</v>
      </c>
      <c r="AV8" s="696">
        <f t="shared" si="25"/>
        <v>0</v>
      </c>
      <c r="AW8" s="696">
        <f t="shared" si="26"/>
        <v>0</v>
      </c>
      <c r="AX8" s="698">
        <f>IFERROR(Feed!H145*Feed!H26,0)</f>
        <v>0</v>
      </c>
      <c r="AY8" s="484">
        <f>IFERROR(Feed!I145*Feed!Q26,0)</f>
        <v>0</v>
      </c>
      <c r="AZ8" s="484">
        <f>IFERROR(Feed!J145*Feed!Z26,0)</f>
        <v>0</v>
      </c>
      <c r="BA8" s="244">
        <f>VLOOKUP(INPUTS!$D$72,'Crop parameters'!$A$2:$Z$43,4,FALSE)*1000</f>
        <v>19800</v>
      </c>
      <c r="BB8" s="404">
        <f>INPUTS!$E$87</f>
        <v>1</v>
      </c>
      <c r="BC8" s="244">
        <f>VLOOKUP(INPUTS!$D$72,'Crop parameters'!$A$2:$Z$43,8,FALSE)*1000</f>
        <v>9999.9999999999964</v>
      </c>
      <c r="BD8" s="404">
        <f>IF(INPUTS!$E$72="Residue",INPUTS!$F$87,0)</f>
        <v>0</v>
      </c>
      <c r="BE8" s="404">
        <f>IFERROR(IF(INPUTS!$E$72="Main",AX8/(BA8*BB8),AX8/(BC8*BD8)),0)</f>
        <v>0</v>
      </c>
      <c r="BF8" s="404">
        <f>IFERROR(IF(INPUTS!$E$72="Main",AY8/(BA8*BB8),AY8/(BC8*BD8)),0)</f>
        <v>0</v>
      </c>
      <c r="BG8" s="404">
        <f>IFERROR(IF(INPUTS!$E$72="Main",AZ8/(BA8*BB8),AZ8/(BC8*BD8)),0)</f>
        <v>0</v>
      </c>
      <c r="BH8" s="696">
        <f t="shared" si="6"/>
        <v>0</v>
      </c>
      <c r="BI8" s="704">
        <f t="shared" si="7"/>
        <v>0</v>
      </c>
      <c r="BJ8" s="704">
        <f t="shared" si="27"/>
        <v>0</v>
      </c>
      <c r="BK8" s="696">
        <f t="shared" si="28"/>
        <v>0</v>
      </c>
      <c r="BL8" s="696">
        <f t="shared" si="29"/>
        <v>0</v>
      </c>
      <c r="BM8" s="696">
        <f t="shared" si="30"/>
        <v>0</v>
      </c>
      <c r="BN8" s="639">
        <f>IFERROR(Feed!H145*Feed!I26,0)</f>
        <v>0</v>
      </c>
      <c r="BO8" s="484">
        <f>IFERROR(Feed!I145*Feed!R26,0)</f>
        <v>0</v>
      </c>
      <c r="BP8" s="484">
        <f>IFERROR(Feed!J145*Feed!AA26,0)</f>
        <v>0</v>
      </c>
      <c r="BQ8" s="244">
        <f>VLOOKUP(INPUTS!$D$73,'Crop parameters'!$A$2:$Z$43,4,FALSE)*1000</f>
        <v>1299</v>
      </c>
      <c r="BR8" s="404">
        <f>INPUTS!$E$88</f>
        <v>0.4</v>
      </c>
      <c r="BS8" s="244">
        <f>VLOOKUP(INPUTS!$D$73,'Crop parameters'!$A$2:$Z$43,8,FALSE)*1000</f>
        <v>3582.4421538461534</v>
      </c>
      <c r="BT8" s="404">
        <f>IF(INPUTS!$E$73="Residue",INPUTS!$F$88,0)</f>
        <v>0.6</v>
      </c>
      <c r="BU8" s="404">
        <f>IFERROR(IF(INPUTS!$E$73="Main",BN8/(BQ8*BR8),BN8/(BS8*BT8)),0)</f>
        <v>0</v>
      </c>
      <c r="BV8" s="404">
        <f>IFERROR(IF(INPUTS!$E$73="Main",BO8/(BQ8*BR8),BO8/(BS8*BT8)),0)</f>
        <v>0</v>
      </c>
      <c r="BW8" s="404">
        <f>IFERROR(IF(INPUTS!$E$73="Main",BP8/(BQ8*BR8),BP8/(BS8*BT8)),0)</f>
        <v>0</v>
      </c>
      <c r="BX8" s="696">
        <f t="shared" si="8"/>
        <v>0</v>
      </c>
      <c r="BY8" s="704">
        <f t="shared" si="9"/>
        <v>0</v>
      </c>
      <c r="BZ8" s="704">
        <f t="shared" si="31"/>
        <v>0</v>
      </c>
      <c r="CA8" s="696">
        <f t="shared" si="32"/>
        <v>0</v>
      </c>
      <c r="CB8" s="696">
        <f t="shared" si="33"/>
        <v>0</v>
      </c>
      <c r="CC8" s="696">
        <f t="shared" si="34"/>
        <v>0</v>
      </c>
      <c r="CD8" s="639">
        <f>IFERROR(Feed!H145*Feed!J26,0)</f>
        <v>0</v>
      </c>
      <c r="CE8" s="484">
        <f>IFERROR(Feed!I145*Feed!S26,0)</f>
        <v>0</v>
      </c>
      <c r="CF8" s="484">
        <f>IFERROR(Feed!J145*Feed!AB26,0)</f>
        <v>0</v>
      </c>
      <c r="CG8" s="244">
        <f>VLOOKUP(INPUTS!$D$74,'Crop parameters'!$A$2:$Z$43,4,FALSE)*1000</f>
        <v>13049.999999999998</v>
      </c>
      <c r="CH8" s="404">
        <f>INPUTS!$E$89</f>
        <v>1</v>
      </c>
      <c r="CI8" s="244">
        <f>VLOOKUP(INPUTS!$D$74,'Crop parameters'!$A$2:$Z$43,8,FALSE)*1000</f>
        <v>4999.9999999999982</v>
      </c>
      <c r="CJ8" s="404">
        <f>IF(INPUTS!$E$74="Residue",INPUTS!$F$89,0)</f>
        <v>0</v>
      </c>
      <c r="CK8" s="404">
        <f>IFERROR(IF(INPUTS!$E$74="Main",CD8/(CG8*CH8),CD8/(CI8*CJ8)),0)</f>
        <v>0</v>
      </c>
      <c r="CL8" s="404">
        <f>IFERROR(IF(INPUTS!$E$74="Main",CE8/(CG8*CH8),CE8/(CI8*CJ8)),0)</f>
        <v>0</v>
      </c>
      <c r="CM8" s="404">
        <f>IFERROR(IF(INPUTS!$E$74="Main",CF8/(CG8*CH8),CF8/(CI8*CJ8)),0)</f>
        <v>0</v>
      </c>
      <c r="CN8" s="696">
        <f t="shared" si="10"/>
        <v>0</v>
      </c>
      <c r="CO8" s="704">
        <f t="shared" si="11"/>
        <v>0</v>
      </c>
      <c r="CP8" s="704">
        <f t="shared" si="35"/>
        <v>0</v>
      </c>
      <c r="CQ8" s="696">
        <f t="shared" si="36"/>
        <v>0</v>
      </c>
      <c r="CR8" s="696">
        <f t="shared" si="37"/>
        <v>0</v>
      </c>
      <c r="CS8" s="696">
        <f t="shared" si="38"/>
        <v>0</v>
      </c>
      <c r="CT8" s="639">
        <f>IFERROR(Feed!H145*Feed!K26,0)</f>
        <v>0</v>
      </c>
      <c r="CU8" s="484">
        <f>IFERROR(Feed!I145*Feed!T26,0)</f>
        <v>0</v>
      </c>
      <c r="CV8" s="484">
        <f>IFERROR(Feed!J145*Feed!AC26,0)</f>
        <v>0</v>
      </c>
      <c r="CW8" s="244">
        <f>VLOOKUP(INPUTS!$D$75,'Crop parameters'!$A$2:$Z$43,4,FALSE)*1000</f>
        <v>0</v>
      </c>
      <c r="CX8" s="404">
        <f>INPUTS!$E$90</f>
        <v>1</v>
      </c>
      <c r="CY8" s="244">
        <f>VLOOKUP(INPUTS!$D$75,'Crop parameters'!$A$2:$Z$43,8,FALSE)*1000</f>
        <v>0</v>
      </c>
      <c r="CZ8" s="404">
        <f>IF(INPUTS!$E$75="Residue",INPUTS!$F$90,0)</f>
        <v>0</v>
      </c>
      <c r="DA8" s="404">
        <f>IFERROR(IF(INPUTS!$E$75="Main",CT8/(CW8*CX8),CT8/(CY8*CZ8)),0)</f>
        <v>0</v>
      </c>
      <c r="DB8" s="404">
        <f>IFERROR(IF(INPUTS!$E$75="Main",CU8/(CW8*CX8),CU8/(CY8*CZ8)),0)</f>
        <v>0</v>
      </c>
      <c r="DC8" s="404">
        <f>IFERROR(IF(INPUTS!$E$75="Main",CV8/(CW8*CX8),CV8/(CY8*CZ8)),0)</f>
        <v>0</v>
      </c>
      <c r="DD8" s="696">
        <f t="shared" si="12"/>
        <v>0</v>
      </c>
      <c r="DE8" s="704">
        <f t="shared" si="13"/>
        <v>0</v>
      </c>
      <c r="DF8" s="704">
        <f t="shared" si="39"/>
        <v>0</v>
      </c>
      <c r="DG8" s="696">
        <f t="shared" si="40"/>
        <v>0</v>
      </c>
      <c r="DH8" s="696">
        <f t="shared" si="41"/>
        <v>0</v>
      </c>
      <c r="DI8" s="404">
        <f t="shared" si="42"/>
        <v>0</v>
      </c>
      <c r="DJ8" s="641">
        <f t="shared" si="43"/>
        <v>0</v>
      </c>
      <c r="DK8" s="641">
        <f t="shared" si="44"/>
        <v>0</v>
      </c>
      <c r="DL8" s="641">
        <f t="shared" si="45"/>
        <v>0</v>
      </c>
    </row>
    <row r="9" spans="1:116">
      <c r="A9" s="474">
        <f>'Livestock parameters'!A5</f>
        <v>0</v>
      </c>
      <c r="B9" s="639">
        <f>IFERROR(Feed!H146*Feed!E33,0)</f>
        <v>0</v>
      </c>
      <c r="C9" s="484">
        <f>IFERROR(Feed!I146*Feed!N33,0)</f>
        <v>0</v>
      </c>
      <c r="D9" s="484">
        <f>IFERROR(Feed!J146*Feed!W33,0)</f>
        <v>0</v>
      </c>
      <c r="E9" s="244">
        <f>VLOOKUP(INPUTS!$D$69,'Crop parameters'!$A$2:$Z$43,4,FALSE)*1000</f>
        <v>0</v>
      </c>
      <c r="F9" s="404">
        <f>INPUTS!$E$84</f>
        <v>1</v>
      </c>
      <c r="G9" s="244">
        <f>VLOOKUP(INPUTS!$D$69,'Crop parameters'!$A$2:$Z$43,8,FALSE)*1000</f>
        <v>0</v>
      </c>
      <c r="H9" s="404">
        <f>IF(INPUTS!$E$69="Residue",INPUTS!$F$84,0)</f>
        <v>0</v>
      </c>
      <c r="I9" s="404">
        <f>IFERROR(IF(INPUTS!$E$69="Main",B9/(E9*F9),B9/(G9*H9)),0)</f>
        <v>0</v>
      </c>
      <c r="J9" s="404">
        <f>IFERROR(IF(INPUTS!$E$69="Main",C9/(E9*F9),C9/(G9*H9)),0)</f>
        <v>0</v>
      </c>
      <c r="K9" s="404">
        <f>IFERROR(IF(INPUTS!$E$69="Main",D9/(E9*F9),D9/(G9*H9)),0)</f>
        <v>0</v>
      </c>
      <c r="L9" s="696">
        <f t="shared" si="0"/>
        <v>0</v>
      </c>
      <c r="M9" s="704">
        <f t="shared" si="1"/>
        <v>0</v>
      </c>
      <c r="N9" s="704">
        <f t="shared" si="15"/>
        <v>0</v>
      </c>
      <c r="O9" s="696">
        <f t="shared" si="16"/>
        <v>0</v>
      </c>
      <c r="P9" s="696">
        <f t="shared" si="17"/>
        <v>0</v>
      </c>
      <c r="Q9" s="696">
        <f t="shared" si="18"/>
        <v>0</v>
      </c>
      <c r="R9" s="639">
        <f>IFERROR(Feed!H146*Feed!F33,0)</f>
        <v>0</v>
      </c>
      <c r="S9" s="484">
        <f>IFERROR(Feed!I146*Feed!O33,0)</f>
        <v>0</v>
      </c>
      <c r="T9" s="484">
        <f>IFERROR(Feed!Z146*Feed!X33,0)</f>
        <v>0</v>
      </c>
      <c r="U9" s="244">
        <f>VLOOKUP(INPUTS!$D$70,'Crop parameters'!$A$2:$Z$43,4,FALSE)*1000</f>
        <v>22050</v>
      </c>
      <c r="V9" s="404">
        <f>INPUTS!$E$85</f>
        <v>1</v>
      </c>
      <c r="W9" s="244">
        <f>VLOOKUP(INPUTS!$D$70,'Crop parameters'!$A$2:$Z$43,8,FALSE)*1000</f>
        <v>11666.666666666662</v>
      </c>
      <c r="X9" s="404">
        <f>IF(INPUTS!$E$70="Residue",INPUTS!$F$85,0)</f>
        <v>0</v>
      </c>
      <c r="Y9" s="404">
        <f>IFERROR(IF(INPUTS!$E$70="Main",R9/(U9*V9),R9/(W9*X9)),0)</f>
        <v>0</v>
      </c>
      <c r="Z9" s="404">
        <f>IFERROR(IF(INPUTS!$E$70="Main",S9/(U9*V9),S9/(W9*X9)),0)</f>
        <v>0</v>
      </c>
      <c r="AA9" s="404">
        <f>IFERROR(IF(INPUTS!$E$70="Main",T9/(U9*V9),T9/(W9*X9)),0)</f>
        <v>0</v>
      </c>
      <c r="AB9" s="696">
        <f t="shared" si="2"/>
        <v>0</v>
      </c>
      <c r="AC9" s="704">
        <f t="shared" si="3"/>
        <v>0</v>
      </c>
      <c r="AD9" s="704">
        <f t="shared" si="19"/>
        <v>0</v>
      </c>
      <c r="AE9" s="696">
        <f t="shared" si="20"/>
        <v>0</v>
      </c>
      <c r="AF9" s="696">
        <f t="shared" si="21"/>
        <v>0</v>
      </c>
      <c r="AG9" s="696">
        <f t="shared" si="22"/>
        <v>0</v>
      </c>
      <c r="AH9" s="639">
        <f>IFERROR(Feed!H146*Feed!G33,0)</f>
        <v>0</v>
      </c>
      <c r="AI9" s="484">
        <f>IFERROR(Feed!I146*Feed!P33,0)</f>
        <v>0</v>
      </c>
      <c r="AJ9" s="484">
        <f>IFERROR(Feed!J146*Feed!Y33,0)</f>
        <v>0</v>
      </c>
      <c r="AK9" s="244">
        <f>VLOOKUP(INPUTS!$D$71,'Crop parameters'!$A$2:$Z$43,4,FALSE)*1000</f>
        <v>13500</v>
      </c>
      <c r="AL9" s="404">
        <f>INPUTS!$E$86</f>
        <v>1</v>
      </c>
      <c r="AM9" s="244">
        <f>VLOOKUP(INPUTS!$D$71,'Crop parameters'!$A$2:$Z$43,8,FALSE)*1000</f>
        <v>5999.9999999999982</v>
      </c>
      <c r="AN9" s="404">
        <f>IF(INPUTS!$E$71="Residue",INPUTS!$F$86,0)</f>
        <v>0</v>
      </c>
      <c r="AO9" s="404">
        <f>IFERROR(IF(INPUTS!$E$71="Main",AH9/(AK9*AL9),AH9/(AM9*AN9)),0)</f>
        <v>0</v>
      </c>
      <c r="AP9" s="404">
        <f>IFERROR(IF(INPUTS!$E$71="Main",AI9/(AK9*AL9),AI9/(AM9*AN9)),0)</f>
        <v>0</v>
      </c>
      <c r="AQ9" s="404">
        <f>IFERROR(IF(INPUTS!$E$71="Main",AJ9/(AK9*AL9),AJ9/(AM9*AN9)),0)</f>
        <v>0</v>
      </c>
      <c r="AR9" s="696">
        <f t="shared" si="4"/>
        <v>0</v>
      </c>
      <c r="AS9" s="704">
        <f t="shared" si="5"/>
        <v>0</v>
      </c>
      <c r="AT9" s="704">
        <f t="shared" si="23"/>
        <v>0</v>
      </c>
      <c r="AU9" s="696">
        <f t="shared" si="24"/>
        <v>0</v>
      </c>
      <c r="AV9" s="696">
        <f t="shared" si="25"/>
        <v>0</v>
      </c>
      <c r="AW9" s="696">
        <f t="shared" si="26"/>
        <v>0</v>
      </c>
      <c r="AX9" s="698">
        <f>IFERROR(Feed!H146*Feed!H33,0)</f>
        <v>0</v>
      </c>
      <c r="AY9" s="484">
        <f>IFERROR(Feed!I146*Feed!Q33,0)</f>
        <v>0</v>
      </c>
      <c r="AZ9" s="484">
        <f>IFERROR(Feed!J146*Feed!Z33,0)</f>
        <v>0</v>
      </c>
      <c r="BA9" s="244">
        <f>VLOOKUP(INPUTS!$D$72,'Crop parameters'!$A$2:$Z$43,4,FALSE)*1000</f>
        <v>19800</v>
      </c>
      <c r="BB9" s="404">
        <f>INPUTS!$E$87</f>
        <v>1</v>
      </c>
      <c r="BC9" s="244">
        <f>VLOOKUP(INPUTS!$D$72,'Crop parameters'!$A$2:$Z$43,8,FALSE)*1000</f>
        <v>9999.9999999999964</v>
      </c>
      <c r="BD9" s="404">
        <f>IF(INPUTS!$E$72="Residue",INPUTS!$F$87,0)</f>
        <v>0</v>
      </c>
      <c r="BE9" s="404">
        <f>IFERROR(IF(INPUTS!$E$72="Main",AX9/(BA9*BB9),AX9/(BC9*BD9)),0)</f>
        <v>0</v>
      </c>
      <c r="BF9" s="404">
        <f>IFERROR(IF(INPUTS!$E$72="Main",AY9/(BA9*BB9),AY9/(BC9*BD9)),0)</f>
        <v>0</v>
      </c>
      <c r="BG9" s="404">
        <f>IFERROR(IF(INPUTS!$E$72="Main",AZ9/(BA9*BB9),AZ9/(BC9*BD9)),0)</f>
        <v>0</v>
      </c>
      <c r="BH9" s="696">
        <f t="shared" si="6"/>
        <v>0</v>
      </c>
      <c r="BI9" s="704">
        <f t="shared" si="7"/>
        <v>0</v>
      </c>
      <c r="BJ9" s="704">
        <f t="shared" si="27"/>
        <v>0</v>
      </c>
      <c r="BK9" s="696">
        <f t="shared" si="28"/>
        <v>0</v>
      </c>
      <c r="BL9" s="696">
        <f t="shared" si="29"/>
        <v>0</v>
      </c>
      <c r="BM9" s="696">
        <f t="shared" si="30"/>
        <v>0</v>
      </c>
      <c r="BN9" s="639">
        <f>IFERROR(Feed!H146*Feed!I33,0)</f>
        <v>0</v>
      </c>
      <c r="BO9" s="484">
        <f>IFERROR(Feed!I146*Feed!R33,0)</f>
        <v>0</v>
      </c>
      <c r="BP9" s="484">
        <f>IFERROR(Feed!J146*Feed!AA33,0)</f>
        <v>0</v>
      </c>
      <c r="BQ9" s="244">
        <f>VLOOKUP(INPUTS!$D$73,'Crop parameters'!$A$2:$Z$43,4,FALSE)*1000</f>
        <v>1299</v>
      </c>
      <c r="BR9" s="404">
        <f>INPUTS!$E$88</f>
        <v>0.4</v>
      </c>
      <c r="BS9" s="244">
        <f>VLOOKUP(INPUTS!$D$73,'Crop parameters'!$A$2:$Z$43,8,FALSE)*1000</f>
        <v>3582.4421538461534</v>
      </c>
      <c r="BT9" s="404">
        <f>IF(INPUTS!$E$73="Residue",INPUTS!$F$88,0)</f>
        <v>0.6</v>
      </c>
      <c r="BU9" s="404">
        <f>IFERROR(IF(INPUTS!$E$73="Main",BN9/(BQ9*BR9),BN9/(BS9*BT9)),0)</f>
        <v>0</v>
      </c>
      <c r="BV9" s="404">
        <f>IFERROR(IF(INPUTS!$E$73="Main",BO9/(BQ9*BR9),BO9/(BS9*BT9)),0)</f>
        <v>0</v>
      </c>
      <c r="BW9" s="404">
        <f>IFERROR(IF(INPUTS!$E$73="Main",BP9/(BQ9*BR9),BP9/(BS9*BT9)),0)</f>
        <v>0</v>
      </c>
      <c r="BX9" s="696">
        <f t="shared" si="8"/>
        <v>0</v>
      </c>
      <c r="BY9" s="704">
        <f t="shared" si="9"/>
        <v>0</v>
      </c>
      <c r="BZ9" s="704">
        <f t="shared" si="31"/>
        <v>0</v>
      </c>
      <c r="CA9" s="696">
        <f t="shared" si="32"/>
        <v>0</v>
      </c>
      <c r="CB9" s="696">
        <f t="shared" si="33"/>
        <v>0</v>
      </c>
      <c r="CC9" s="696">
        <f t="shared" si="34"/>
        <v>0</v>
      </c>
      <c r="CD9" s="639">
        <f>IFERROR(Feed!H146*Feed!J33,0)</f>
        <v>0</v>
      </c>
      <c r="CE9" s="484">
        <f>IFERROR(Feed!I146*Feed!S33,0)</f>
        <v>0</v>
      </c>
      <c r="CF9" s="484">
        <f>IFERROR(Feed!J146*Feed!AB33,0)</f>
        <v>0</v>
      </c>
      <c r="CG9" s="244">
        <f>VLOOKUP(INPUTS!$D$74,'Crop parameters'!$A$2:$Z$43,4,FALSE)*1000</f>
        <v>13049.999999999998</v>
      </c>
      <c r="CH9" s="404">
        <f>INPUTS!$E$89</f>
        <v>1</v>
      </c>
      <c r="CI9" s="244">
        <f>VLOOKUP(INPUTS!$D$74,'Crop parameters'!$A$2:$Z$43,8,FALSE)*1000</f>
        <v>4999.9999999999982</v>
      </c>
      <c r="CJ9" s="404">
        <f>IF(INPUTS!$E$74="Residue",INPUTS!$F$89,0)</f>
        <v>0</v>
      </c>
      <c r="CK9" s="404">
        <f>IFERROR(IF(INPUTS!$E$74="Main",CD9/(CG9*CH9),CD9/(CI9*CJ9)),0)</f>
        <v>0</v>
      </c>
      <c r="CL9" s="404">
        <f>IFERROR(IF(INPUTS!$E$74="Main",CE9/(CG9*CH9),CE9/(CI9*CJ9)),0)</f>
        <v>0</v>
      </c>
      <c r="CM9" s="404">
        <f>IFERROR(IF(INPUTS!$E$74="Main",CF9/(CG9*CH9),CF9/(CI9*CJ9)),0)</f>
        <v>0</v>
      </c>
      <c r="CN9" s="696">
        <f t="shared" si="10"/>
        <v>0</v>
      </c>
      <c r="CO9" s="704">
        <f t="shared" si="11"/>
        <v>0</v>
      </c>
      <c r="CP9" s="704">
        <f t="shared" si="35"/>
        <v>0</v>
      </c>
      <c r="CQ9" s="696">
        <f t="shared" si="36"/>
        <v>0</v>
      </c>
      <c r="CR9" s="696">
        <f t="shared" si="37"/>
        <v>0</v>
      </c>
      <c r="CS9" s="696">
        <f t="shared" si="38"/>
        <v>0</v>
      </c>
      <c r="CT9" s="639">
        <f>IFERROR(Feed!H146*Feed!K33,0)</f>
        <v>0</v>
      </c>
      <c r="CU9" s="484">
        <f>IFERROR(Feed!I146*Feed!T33,0)</f>
        <v>0</v>
      </c>
      <c r="CV9" s="484">
        <f>IFERROR(Feed!J146*Feed!AC33,0)</f>
        <v>0</v>
      </c>
      <c r="CW9" s="244">
        <f>VLOOKUP(INPUTS!$D$75,'Crop parameters'!$A$2:$Z$43,4,FALSE)*1000</f>
        <v>0</v>
      </c>
      <c r="CX9" s="404">
        <f>INPUTS!$E$90</f>
        <v>1</v>
      </c>
      <c r="CY9" s="244">
        <f>VLOOKUP(INPUTS!$D$75,'Crop parameters'!$A$2:$Z$43,8,FALSE)*1000</f>
        <v>0</v>
      </c>
      <c r="CZ9" s="404">
        <f>IF(INPUTS!$E$75="Residue",INPUTS!$F$90,0)</f>
        <v>0</v>
      </c>
      <c r="DA9" s="404">
        <f>IFERROR(IF(INPUTS!$E$75="Main",CT9/(CW9*CX9),CT9/(CY9*CZ9)),0)</f>
        <v>0</v>
      </c>
      <c r="DB9" s="404">
        <f>IFERROR(IF(INPUTS!$E$75="Main",CU9/(CW9*CX9),CU9/(CY9*CZ9)),0)</f>
        <v>0</v>
      </c>
      <c r="DC9" s="404">
        <f>IFERROR(IF(INPUTS!$E$75="Main",CV9/(CW9*CX9),CV9/(CY9*CZ9)),0)</f>
        <v>0</v>
      </c>
      <c r="DD9" s="696">
        <f t="shared" si="12"/>
        <v>0</v>
      </c>
      <c r="DE9" s="704">
        <f t="shared" si="13"/>
        <v>0</v>
      </c>
      <c r="DF9" s="704">
        <f t="shared" si="39"/>
        <v>0</v>
      </c>
      <c r="DG9" s="696">
        <f t="shared" si="40"/>
        <v>0</v>
      </c>
      <c r="DH9" s="696">
        <f t="shared" si="41"/>
        <v>0</v>
      </c>
      <c r="DI9" s="404">
        <f t="shared" si="42"/>
        <v>0</v>
      </c>
      <c r="DJ9" s="641">
        <f t="shared" si="43"/>
        <v>0</v>
      </c>
      <c r="DK9" s="641">
        <f t="shared" si="44"/>
        <v>0</v>
      </c>
      <c r="DL9" s="641">
        <f t="shared" si="45"/>
        <v>0</v>
      </c>
    </row>
    <row r="10" spans="1:116">
      <c r="A10" s="474">
        <f>'Livestock parameters'!A6</f>
        <v>0</v>
      </c>
      <c r="B10" s="639">
        <f>IFERROR(Feed!H147*Feed!E40,0)</f>
        <v>0</v>
      </c>
      <c r="C10" s="484">
        <f>IFERROR(Feed!I147*Feed!N40,0)</f>
        <v>0</v>
      </c>
      <c r="D10" s="484">
        <f>IFERROR(Feed!J147*Feed!W40,0)</f>
        <v>0</v>
      </c>
      <c r="E10" s="244">
        <f>VLOOKUP(INPUTS!$D$69,'Crop parameters'!$A$2:$Z$43,4,FALSE)*1000</f>
        <v>0</v>
      </c>
      <c r="F10" s="404">
        <f>INPUTS!$E$84</f>
        <v>1</v>
      </c>
      <c r="G10" s="244">
        <f>VLOOKUP(INPUTS!$D$69,'Crop parameters'!$A$2:$Z$43,8,FALSE)*1000</f>
        <v>0</v>
      </c>
      <c r="H10" s="404">
        <f>IF(INPUTS!$E$69="Residue",INPUTS!$F$84,0)</f>
        <v>0</v>
      </c>
      <c r="I10" s="404">
        <f>IFERROR(IF(INPUTS!$E$69="Main",B10/(E10*F10),B10/(G10*H10)),0)</f>
        <v>0</v>
      </c>
      <c r="J10" s="404">
        <f>IFERROR(IF(INPUTS!$E$69="Main",C10/(E10*F10),C10/(G10*H10)),0)</f>
        <v>0</v>
      </c>
      <c r="K10" s="404">
        <f>IFERROR(IF(INPUTS!$E$69="Main",D10/(E10*F10),D10/(G10*H10)),0)</f>
        <v>0</v>
      </c>
      <c r="L10" s="696">
        <f t="shared" si="0"/>
        <v>0</v>
      </c>
      <c r="M10" s="704">
        <f t="shared" si="1"/>
        <v>0</v>
      </c>
      <c r="N10" s="704">
        <f t="shared" si="15"/>
        <v>0</v>
      </c>
      <c r="O10" s="696">
        <f t="shared" si="16"/>
        <v>0</v>
      </c>
      <c r="P10" s="696">
        <f t="shared" si="17"/>
        <v>0</v>
      </c>
      <c r="Q10" s="696">
        <f t="shared" si="18"/>
        <v>0</v>
      </c>
      <c r="R10" s="639">
        <f>IFERROR(Feed!H147*Feed!F40,0)</f>
        <v>0</v>
      </c>
      <c r="S10" s="484">
        <f>IFERROR(Feed!I147*Feed!O40,0)</f>
        <v>0</v>
      </c>
      <c r="T10" s="484">
        <f>IFERROR(Feed!Z147*Feed!X40,0)</f>
        <v>0</v>
      </c>
      <c r="U10" s="244">
        <f>VLOOKUP(INPUTS!$D$70,'Crop parameters'!$A$2:$Z$43,4,FALSE)*1000</f>
        <v>22050</v>
      </c>
      <c r="V10" s="404">
        <f>INPUTS!$E$85</f>
        <v>1</v>
      </c>
      <c r="W10" s="244">
        <f>VLOOKUP(INPUTS!$D$70,'Crop parameters'!$A$2:$Z$43,8,FALSE)*1000</f>
        <v>11666.666666666662</v>
      </c>
      <c r="X10" s="404">
        <f>IF(INPUTS!$E$70="Residue",INPUTS!$F$85,0)</f>
        <v>0</v>
      </c>
      <c r="Y10" s="404">
        <f>IFERROR(IF(INPUTS!$E$70="Main",R10/(U10*V10),R10/(W10*X10)),0)</f>
        <v>0</v>
      </c>
      <c r="Z10" s="404">
        <f>IFERROR(IF(INPUTS!$E$70="Main",S10/(U10*V10),S10/(W10*X10)),0)</f>
        <v>0</v>
      </c>
      <c r="AA10" s="404">
        <f>IFERROR(IF(INPUTS!$E$70="Main",T10/(U10*V10),T10/(W10*X10)),0)</f>
        <v>0</v>
      </c>
      <c r="AB10" s="696">
        <f t="shared" si="2"/>
        <v>0</v>
      </c>
      <c r="AC10" s="704">
        <f t="shared" si="3"/>
        <v>0</v>
      </c>
      <c r="AD10" s="704">
        <f t="shared" si="19"/>
        <v>0</v>
      </c>
      <c r="AE10" s="696">
        <f t="shared" si="20"/>
        <v>0</v>
      </c>
      <c r="AF10" s="696">
        <f t="shared" si="21"/>
        <v>0</v>
      </c>
      <c r="AG10" s="696">
        <f t="shared" si="22"/>
        <v>0</v>
      </c>
      <c r="AH10" s="639">
        <f>IFERROR(Feed!H147*Feed!G40,0)</f>
        <v>0</v>
      </c>
      <c r="AI10" s="484">
        <f>IFERROR(Feed!I147*Feed!P40,0)</f>
        <v>0</v>
      </c>
      <c r="AJ10" s="484">
        <f>IFERROR(Feed!J147*Feed!Y40,0)</f>
        <v>0</v>
      </c>
      <c r="AK10" s="244">
        <f>VLOOKUP(INPUTS!$D$71,'Crop parameters'!$A$2:$Z$43,4,FALSE)*1000</f>
        <v>13500</v>
      </c>
      <c r="AL10" s="404">
        <f>INPUTS!$E$86</f>
        <v>1</v>
      </c>
      <c r="AM10" s="244">
        <f>VLOOKUP(INPUTS!$D$71,'Crop parameters'!$A$2:$Z$43,8,FALSE)*1000</f>
        <v>5999.9999999999982</v>
      </c>
      <c r="AN10" s="404">
        <f>IF(INPUTS!$E$71="Residue",INPUTS!$F$86,0)</f>
        <v>0</v>
      </c>
      <c r="AO10" s="404">
        <f>IFERROR(IF(INPUTS!$E$71="Main",AH10/(AK10*AL10),AH10/(AM10*AN10)),0)</f>
        <v>0</v>
      </c>
      <c r="AP10" s="404">
        <f>IFERROR(IF(INPUTS!$E$71="Main",AI10/(AK10*AL10),AI10/(AM10*AN10)),0)</f>
        <v>0</v>
      </c>
      <c r="AQ10" s="404">
        <f>IFERROR(IF(INPUTS!$E$71="Main",AJ10/(AK10*AL10),AJ10/(AM10*AN10)),0)</f>
        <v>0</v>
      </c>
      <c r="AR10" s="696">
        <f t="shared" si="4"/>
        <v>0</v>
      </c>
      <c r="AS10" s="704">
        <f t="shared" si="5"/>
        <v>0</v>
      </c>
      <c r="AT10" s="704">
        <f t="shared" si="23"/>
        <v>0</v>
      </c>
      <c r="AU10" s="696">
        <f t="shared" si="24"/>
        <v>0</v>
      </c>
      <c r="AV10" s="696">
        <f t="shared" si="25"/>
        <v>0</v>
      </c>
      <c r="AW10" s="696">
        <f t="shared" si="26"/>
        <v>0</v>
      </c>
      <c r="AX10" s="698">
        <f>IFERROR(Feed!H147*Feed!H40,0)</f>
        <v>0</v>
      </c>
      <c r="AY10" s="484">
        <f>IFERROR(Feed!I147*Feed!Q40,0)</f>
        <v>0</v>
      </c>
      <c r="AZ10" s="484">
        <f>IFERROR(Feed!J147*Feed!Z40,0)</f>
        <v>0</v>
      </c>
      <c r="BA10" s="244">
        <f>VLOOKUP(INPUTS!$D$72,'Crop parameters'!$A$2:$Z$43,4,FALSE)*1000</f>
        <v>19800</v>
      </c>
      <c r="BB10" s="404">
        <f>INPUTS!$E$87</f>
        <v>1</v>
      </c>
      <c r="BC10" s="244">
        <f>VLOOKUP(INPUTS!$D$72,'Crop parameters'!$A$2:$Z$43,8,FALSE)*1000</f>
        <v>9999.9999999999964</v>
      </c>
      <c r="BD10" s="404">
        <f>IF(INPUTS!$E$72="Residue",INPUTS!$F$87,0)</f>
        <v>0</v>
      </c>
      <c r="BE10" s="404">
        <f>IFERROR(IF(INPUTS!$E$72="Main",AX10/(BA10*BB10),AX10/(BC10*BD10)),0)</f>
        <v>0</v>
      </c>
      <c r="BF10" s="404">
        <f>IFERROR(IF(INPUTS!$E$72="Main",AY10/(BA10*BB10),AY10/(BC10*BD10)),0)</f>
        <v>0</v>
      </c>
      <c r="BG10" s="404">
        <f>IFERROR(IF(INPUTS!$E$72="Main",AZ10/(BA10*BB10),AZ10/(BC10*BD10)),0)</f>
        <v>0</v>
      </c>
      <c r="BH10" s="696">
        <f t="shared" si="6"/>
        <v>0</v>
      </c>
      <c r="BI10" s="704">
        <f t="shared" si="7"/>
        <v>0</v>
      </c>
      <c r="BJ10" s="704">
        <f t="shared" si="27"/>
        <v>0</v>
      </c>
      <c r="BK10" s="696">
        <f t="shared" si="28"/>
        <v>0</v>
      </c>
      <c r="BL10" s="696">
        <f t="shared" si="29"/>
        <v>0</v>
      </c>
      <c r="BM10" s="696">
        <f t="shared" si="30"/>
        <v>0</v>
      </c>
      <c r="BN10" s="639">
        <f>IFERROR(Feed!H147*Feed!I40,0)</f>
        <v>0</v>
      </c>
      <c r="BO10" s="484">
        <f>IFERROR(Feed!I147*Feed!R40,0)</f>
        <v>0</v>
      </c>
      <c r="BP10" s="484">
        <f>IFERROR(Feed!J147*Feed!AA40,0)</f>
        <v>0</v>
      </c>
      <c r="BQ10" s="244">
        <f>VLOOKUP(INPUTS!$D$73,'Crop parameters'!$A$2:$Z$43,4,FALSE)*1000</f>
        <v>1299</v>
      </c>
      <c r="BR10" s="404">
        <f>INPUTS!$E$88</f>
        <v>0.4</v>
      </c>
      <c r="BS10" s="244">
        <f>VLOOKUP(INPUTS!$D$73,'Crop parameters'!$A$2:$Z$43,8,FALSE)*1000</f>
        <v>3582.4421538461534</v>
      </c>
      <c r="BT10" s="404">
        <f>IF(INPUTS!$E$73="Residue",INPUTS!$F$88,0)</f>
        <v>0.6</v>
      </c>
      <c r="BU10" s="404">
        <f>IFERROR(IF(INPUTS!$E$73="Main",BN10/(BQ10*BR10),BN10/(BS10*BT10)),0)</f>
        <v>0</v>
      </c>
      <c r="BV10" s="404">
        <f>IFERROR(IF(INPUTS!$E$73="Main",BO10/(BQ10*BR10),BO10/(BS10*BT10)),0)</f>
        <v>0</v>
      </c>
      <c r="BW10" s="404">
        <f>IFERROR(IF(INPUTS!$E$73="Main",BP10/(BQ10*BR10),BP10/(BS10*BT10)),0)</f>
        <v>0</v>
      </c>
      <c r="BX10" s="696">
        <f t="shared" si="8"/>
        <v>0</v>
      </c>
      <c r="BY10" s="704">
        <f t="shared" si="9"/>
        <v>0</v>
      </c>
      <c r="BZ10" s="704">
        <f t="shared" si="31"/>
        <v>0</v>
      </c>
      <c r="CA10" s="696">
        <f t="shared" si="32"/>
        <v>0</v>
      </c>
      <c r="CB10" s="696">
        <f t="shared" si="33"/>
        <v>0</v>
      </c>
      <c r="CC10" s="696">
        <f t="shared" si="34"/>
        <v>0</v>
      </c>
      <c r="CD10" s="639">
        <f>IFERROR(Feed!H147*Feed!J40,0)</f>
        <v>0</v>
      </c>
      <c r="CE10" s="484">
        <f>IFERROR(Feed!I147*Feed!S40,0)</f>
        <v>0</v>
      </c>
      <c r="CF10" s="484">
        <f>IFERROR(Feed!J147*Feed!AB40,0)</f>
        <v>0</v>
      </c>
      <c r="CG10" s="244">
        <f>VLOOKUP(INPUTS!$D$74,'Crop parameters'!$A$2:$Z$43,4,FALSE)*1000</f>
        <v>13049.999999999998</v>
      </c>
      <c r="CH10" s="404">
        <f>INPUTS!$E$89</f>
        <v>1</v>
      </c>
      <c r="CI10" s="244">
        <f>VLOOKUP(INPUTS!$D$74,'Crop parameters'!$A$2:$Z$43,8,FALSE)*1000</f>
        <v>4999.9999999999982</v>
      </c>
      <c r="CJ10" s="404">
        <f>IF(INPUTS!$E$74="Residue",INPUTS!$F$89,0)</f>
        <v>0</v>
      </c>
      <c r="CK10" s="404">
        <f>IFERROR(IF(INPUTS!$E$74="Main",CD10/(CG10*CH10),CD10/(CI10*CJ10)),0)</f>
        <v>0</v>
      </c>
      <c r="CL10" s="404">
        <f>IFERROR(IF(INPUTS!$E$74="Main",CE10/(CG10*CH10),CE10/(CI10*CJ10)),0)</f>
        <v>0</v>
      </c>
      <c r="CM10" s="404">
        <f>IFERROR(IF(INPUTS!$E$74="Main",CF10/(CG10*CH10),CF10/(CI10*CJ10)),0)</f>
        <v>0</v>
      </c>
      <c r="CN10" s="696">
        <f t="shared" si="10"/>
        <v>0</v>
      </c>
      <c r="CO10" s="704">
        <f t="shared" si="11"/>
        <v>0</v>
      </c>
      <c r="CP10" s="704">
        <f t="shared" si="35"/>
        <v>0</v>
      </c>
      <c r="CQ10" s="696">
        <f t="shared" si="36"/>
        <v>0</v>
      </c>
      <c r="CR10" s="696">
        <f t="shared" si="37"/>
        <v>0</v>
      </c>
      <c r="CS10" s="696">
        <f t="shared" si="38"/>
        <v>0</v>
      </c>
      <c r="CT10" s="639">
        <f>IFERROR(Feed!H147*Feed!K40,0)</f>
        <v>0</v>
      </c>
      <c r="CU10" s="484">
        <f>IFERROR(Feed!I147*Feed!T40,0)</f>
        <v>0</v>
      </c>
      <c r="CV10" s="484">
        <f>IFERROR(Feed!J147*Feed!AC40,0)</f>
        <v>0</v>
      </c>
      <c r="CW10" s="244">
        <f>VLOOKUP(INPUTS!$D$75,'Crop parameters'!$A$2:$Z$43,4,FALSE)*1000</f>
        <v>0</v>
      </c>
      <c r="CX10" s="404">
        <f>INPUTS!$E$90</f>
        <v>1</v>
      </c>
      <c r="CY10" s="244">
        <f>VLOOKUP(INPUTS!$D$75,'Crop parameters'!$A$2:$Z$43,8,FALSE)*1000</f>
        <v>0</v>
      </c>
      <c r="CZ10" s="404">
        <f>IF(INPUTS!$E$75="Residue",INPUTS!$F$90,0)</f>
        <v>0</v>
      </c>
      <c r="DA10" s="404">
        <f>IFERROR(IF(INPUTS!$E$75="Main",CT10/(CW10*CX10),CT10/(CY10*CZ10)),0)</f>
        <v>0</v>
      </c>
      <c r="DB10" s="404">
        <f>IFERROR(IF(INPUTS!$E$75="Main",CU10/(CW10*CX10),CU10/(CY10*CZ10)),0)</f>
        <v>0</v>
      </c>
      <c r="DC10" s="404">
        <f>IFERROR(IF(INPUTS!$E$75="Main",CV10/(CW10*CX10),CV10/(CY10*CZ10)),0)</f>
        <v>0</v>
      </c>
      <c r="DD10" s="696">
        <f t="shared" si="12"/>
        <v>0</v>
      </c>
      <c r="DE10" s="704">
        <f t="shared" si="13"/>
        <v>0</v>
      </c>
      <c r="DF10" s="704">
        <f t="shared" si="39"/>
        <v>0</v>
      </c>
      <c r="DG10" s="696">
        <f t="shared" si="40"/>
        <v>0</v>
      </c>
      <c r="DH10" s="696">
        <f t="shared" si="41"/>
        <v>0</v>
      </c>
      <c r="DI10" s="404">
        <f t="shared" si="42"/>
        <v>0</v>
      </c>
      <c r="DJ10" s="641">
        <f t="shared" si="43"/>
        <v>0</v>
      </c>
      <c r="DK10" s="641">
        <f t="shared" si="44"/>
        <v>0</v>
      </c>
      <c r="DL10" s="641">
        <f t="shared" si="45"/>
        <v>0</v>
      </c>
    </row>
    <row r="11" spans="1:116">
      <c r="A11" s="474">
        <f>'Livestock parameters'!A7</f>
        <v>0</v>
      </c>
      <c r="B11" s="639">
        <f>IFERROR(Feed!H148*Feed!E47,0)</f>
        <v>0</v>
      </c>
      <c r="C11" s="484">
        <f>IFERROR(Feed!I148*Feed!N47,0)</f>
        <v>0</v>
      </c>
      <c r="D11" s="484">
        <f>IFERROR(Feed!J148*Feed!W47,0)</f>
        <v>0</v>
      </c>
      <c r="E11" s="244">
        <f>VLOOKUP(INPUTS!$D$69,'Crop parameters'!$A$2:$Z$43,4,FALSE)*1000</f>
        <v>0</v>
      </c>
      <c r="F11" s="404">
        <f>INPUTS!$E$84</f>
        <v>1</v>
      </c>
      <c r="G11" s="244">
        <f>VLOOKUP(INPUTS!$D$69,'Crop parameters'!$A$2:$Z$43,8,FALSE)*1000</f>
        <v>0</v>
      </c>
      <c r="H11" s="404">
        <f>IF(INPUTS!$E$69="Residue",INPUTS!$F$84,0)</f>
        <v>0</v>
      </c>
      <c r="I11" s="404">
        <f>IFERROR(IF(INPUTS!$E$69="Main",B11/(E11*F11),B11/(G11*H11)),0)</f>
        <v>0</v>
      </c>
      <c r="J11" s="404">
        <f>IFERROR(IF(INPUTS!$E$69="Main",C11/(E11*F11),C11/(G11*H11)),0)</f>
        <v>0</v>
      </c>
      <c r="K11" s="404">
        <f>IFERROR(IF(INPUTS!$E$69="Main",D11/(E11*F11),D11/(G11*H11)),0)</f>
        <v>0</v>
      </c>
      <c r="L11" s="696">
        <f t="shared" si="0"/>
        <v>0</v>
      </c>
      <c r="M11" s="704">
        <f t="shared" si="1"/>
        <v>0</v>
      </c>
      <c r="N11" s="704">
        <f t="shared" si="15"/>
        <v>0</v>
      </c>
      <c r="O11" s="696">
        <f t="shared" si="16"/>
        <v>0</v>
      </c>
      <c r="P11" s="696">
        <f t="shared" si="17"/>
        <v>0</v>
      </c>
      <c r="Q11" s="696">
        <f t="shared" si="18"/>
        <v>0</v>
      </c>
      <c r="R11" s="639">
        <f>IFERROR(Feed!H148*Feed!F47,0)</f>
        <v>0</v>
      </c>
      <c r="S11" s="484">
        <f>IFERROR(Feed!I148*Feed!O47,0)</f>
        <v>0</v>
      </c>
      <c r="T11" s="484">
        <f>IFERROR(Feed!Z148*Feed!X47,0)</f>
        <v>0</v>
      </c>
      <c r="U11" s="244">
        <f>VLOOKUP(INPUTS!$D$70,'Crop parameters'!$A$2:$Z$43,4,FALSE)*1000</f>
        <v>22050</v>
      </c>
      <c r="V11" s="404">
        <f>INPUTS!$E$85</f>
        <v>1</v>
      </c>
      <c r="W11" s="244">
        <f>VLOOKUP(INPUTS!$D$70,'Crop parameters'!$A$2:$Z$43,8,FALSE)*1000</f>
        <v>11666.666666666662</v>
      </c>
      <c r="X11" s="404">
        <f>IF(INPUTS!$E$70="Residue",INPUTS!$F$85,0)</f>
        <v>0</v>
      </c>
      <c r="Y11" s="404">
        <f>IFERROR(IF(INPUTS!$E$70="Main",R11/(U11*V11),R11/(W11*X11)),0)</f>
        <v>0</v>
      </c>
      <c r="Z11" s="404">
        <f>IFERROR(IF(INPUTS!$E$70="Main",S11/(U11*V11),S11/(W11*X11)),0)</f>
        <v>0</v>
      </c>
      <c r="AA11" s="404">
        <f>IFERROR(IF(INPUTS!$E$70="Main",T11/(U11*V11),T11/(W11*X11)),0)</f>
        <v>0</v>
      </c>
      <c r="AB11" s="696">
        <f t="shared" si="2"/>
        <v>0</v>
      </c>
      <c r="AC11" s="704">
        <f t="shared" si="3"/>
        <v>0</v>
      </c>
      <c r="AD11" s="704">
        <f t="shared" si="19"/>
        <v>0</v>
      </c>
      <c r="AE11" s="696">
        <f t="shared" si="20"/>
        <v>0</v>
      </c>
      <c r="AF11" s="696">
        <f t="shared" si="21"/>
        <v>0</v>
      </c>
      <c r="AG11" s="696">
        <f t="shared" si="22"/>
        <v>0</v>
      </c>
      <c r="AH11" s="639">
        <f>IFERROR(Feed!H148*Feed!G47,0)</f>
        <v>0</v>
      </c>
      <c r="AI11" s="484">
        <f>IFERROR(Feed!I148*Feed!P47,0)</f>
        <v>0</v>
      </c>
      <c r="AJ11" s="484">
        <f>IFERROR(Feed!J148*Feed!Y47,0)</f>
        <v>0</v>
      </c>
      <c r="AK11" s="244">
        <f>VLOOKUP(INPUTS!$D$71,'Crop parameters'!$A$2:$Z$43,4,FALSE)*1000</f>
        <v>13500</v>
      </c>
      <c r="AL11" s="404">
        <f>INPUTS!$E$86</f>
        <v>1</v>
      </c>
      <c r="AM11" s="244">
        <f>VLOOKUP(INPUTS!$D$71,'Crop parameters'!$A$2:$Z$43,8,FALSE)*1000</f>
        <v>5999.9999999999982</v>
      </c>
      <c r="AN11" s="404">
        <f>IF(INPUTS!$E$71="Residue",INPUTS!$F$86,0)</f>
        <v>0</v>
      </c>
      <c r="AO11" s="404">
        <f>IFERROR(IF(INPUTS!$E$71="Main",AH11/(AK11*AL11),AH11/(AM11*AN11)),0)</f>
        <v>0</v>
      </c>
      <c r="AP11" s="404">
        <f>IFERROR(IF(INPUTS!$E$71="Main",AI11/(AK11*AL11),AI11/(AM11*AN11)),0)</f>
        <v>0</v>
      </c>
      <c r="AQ11" s="404">
        <f>IFERROR(IF(INPUTS!$E$71="Main",AJ11/(AK11*AL11),AJ11/(AM11*AN11)),0)</f>
        <v>0</v>
      </c>
      <c r="AR11" s="696">
        <f t="shared" si="4"/>
        <v>0</v>
      </c>
      <c r="AS11" s="704">
        <f t="shared" si="5"/>
        <v>0</v>
      </c>
      <c r="AT11" s="704">
        <f t="shared" si="23"/>
        <v>0</v>
      </c>
      <c r="AU11" s="696">
        <f t="shared" si="24"/>
        <v>0</v>
      </c>
      <c r="AV11" s="696">
        <f t="shared" si="25"/>
        <v>0</v>
      </c>
      <c r="AW11" s="696">
        <f t="shared" si="26"/>
        <v>0</v>
      </c>
      <c r="AX11" s="698">
        <f>IFERROR(Feed!H148*Feed!H47,0)</f>
        <v>0</v>
      </c>
      <c r="AY11" s="484">
        <f>IFERROR(Feed!I148*Feed!Q47,0)</f>
        <v>0</v>
      </c>
      <c r="AZ11" s="484">
        <f>IFERROR(Feed!J148*Feed!Z47,0)</f>
        <v>0</v>
      </c>
      <c r="BA11" s="244">
        <f>VLOOKUP(INPUTS!$D$72,'Crop parameters'!$A$2:$Z$43,4,FALSE)*1000</f>
        <v>19800</v>
      </c>
      <c r="BB11" s="404">
        <f>INPUTS!$E$87</f>
        <v>1</v>
      </c>
      <c r="BC11" s="244">
        <f>VLOOKUP(INPUTS!$D$72,'Crop parameters'!$A$2:$Z$43,8,FALSE)*1000</f>
        <v>9999.9999999999964</v>
      </c>
      <c r="BD11" s="404">
        <f>IF(INPUTS!$E$72="Residue",INPUTS!$F$87,0)</f>
        <v>0</v>
      </c>
      <c r="BE11" s="404">
        <f>IFERROR(IF(INPUTS!$E$72="Main",AX11/(BA11*BB11),AX11/(BC11*BD11)),0)</f>
        <v>0</v>
      </c>
      <c r="BF11" s="404">
        <f>IFERROR(IF(INPUTS!$E$72="Main",AY11/(BA11*BB11),AY11/(BC11*BD11)),0)</f>
        <v>0</v>
      </c>
      <c r="BG11" s="404">
        <f>IFERROR(IF(INPUTS!$E$72="Main",AZ11/(BA11*BB11),AZ11/(BC11*BD11)),0)</f>
        <v>0</v>
      </c>
      <c r="BH11" s="696">
        <f t="shared" si="6"/>
        <v>0</v>
      </c>
      <c r="BI11" s="704">
        <f t="shared" si="7"/>
        <v>0</v>
      </c>
      <c r="BJ11" s="704">
        <f t="shared" si="27"/>
        <v>0</v>
      </c>
      <c r="BK11" s="696">
        <f t="shared" si="28"/>
        <v>0</v>
      </c>
      <c r="BL11" s="696">
        <f t="shared" si="29"/>
        <v>0</v>
      </c>
      <c r="BM11" s="696">
        <f t="shared" si="30"/>
        <v>0</v>
      </c>
      <c r="BN11" s="639">
        <f>IFERROR(Feed!H148*Feed!I47,0)</f>
        <v>0</v>
      </c>
      <c r="BO11" s="484">
        <f>IFERROR(Feed!I148*Feed!R47,0)</f>
        <v>0</v>
      </c>
      <c r="BP11" s="484">
        <f>IFERROR(Feed!J148*Feed!AA47,0)</f>
        <v>0</v>
      </c>
      <c r="BQ11" s="244">
        <f>VLOOKUP(INPUTS!$D$73,'Crop parameters'!$A$2:$Z$43,4,FALSE)*1000</f>
        <v>1299</v>
      </c>
      <c r="BR11" s="404">
        <f>INPUTS!$E$88</f>
        <v>0.4</v>
      </c>
      <c r="BS11" s="244">
        <f>VLOOKUP(INPUTS!$D$73,'Crop parameters'!$A$2:$Z$43,8,FALSE)*1000</f>
        <v>3582.4421538461534</v>
      </c>
      <c r="BT11" s="404">
        <f>IF(INPUTS!$E$73="Residue",INPUTS!$F$88,0)</f>
        <v>0.6</v>
      </c>
      <c r="BU11" s="404">
        <f>IFERROR(IF(INPUTS!$E$73="Main",BN11/(BQ11*BR11),BN11/(BS11*BT11)),0)</f>
        <v>0</v>
      </c>
      <c r="BV11" s="404">
        <f>IFERROR(IF(INPUTS!$E$73="Main",BO11/(BQ11*BR11),BO11/(BS11*BT11)),0)</f>
        <v>0</v>
      </c>
      <c r="BW11" s="404">
        <f>IFERROR(IF(INPUTS!$E$73="Main",BP11/(BQ11*BR11),BP11/(BS11*BT11)),0)</f>
        <v>0</v>
      </c>
      <c r="BX11" s="696">
        <f t="shared" si="8"/>
        <v>0</v>
      </c>
      <c r="BY11" s="704">
        <f t="shared" si="9"/>
        <v>0</v>
      </c>
      <c r="BZ11" s="704">
        <f t="shared" si="31"/>
        <v>0</v>
      </c>
      <c r="CA11" s="696">
        <f t="shared" si="32"/>
        <v>0</v>
      </c>
      <c r="CB11" s="696">
        <f t="shared" si="33"/>
        <v>0</v>
      </c>
      <c r="CC11" s="696">
        <f t="shared" si="34"/>
        <v>0</v>
      </c>
      <c r="CD11" s="639">
        <f>IFERROR(Feed!H148*Feed!J47,0)</f>
        <v>0</v>
      </c>
      <c r="CE11" s="484">
        <f>IFERROR(Feed!I148*Feed!S47,0)</f>
        <v>0</v>
      </c>
      <c r="CF11" s="484">
        <f>IFERROR(Feed!J148*Feed!AB47,0)</f>
        <v>0</v>
      </c>
      <c r="CG11" s="244">
        <f>VLOOKUP(INPUTS!$D$74,'Crop parameters'!$A$2:$Z$43,4,FALSE)*1000</f>
        <v>13049.999999999998</v>
      </c>
      <c r="CH11" s="404">
        <f>INPUTS!$E$89</f>
        <v>1</v>
      </c>
      <c r="CI11" s="244">
        <f>VLOOKUP(INPUTS!$D$74,'Crop parameters'!$A$2:$Z$43,8,FALSE)*1000</f>
        <v>4999.9999999999982</v>
      </c>
      <c r="CJ11" s="404">
        <f>IF(INPUTS!$E$74="Residue",INPUTS!$F$89,0)</f>
        <v>0</v>
      </c>
      <c r="CK11" s="404">
        <f>IFERROR(IF(INPUTS!$E$74="Main",CD11/(CG11*CH11),CD11/(CI11*CJ11)),0)</f>
        <v>0</v>
      </c>
      <c r="CL11" s="404">
        <f>IFERROR(IF(INPUTS!$E$74="Main",CE11/(CG11*CH11),CE11/(CI11*CJ11)),0)</f>
        <v>0</v>
      </c>
      <c r="CM11" s="404">
        <f>IFERROR(IF(INPUTS!$E$74="Main",CF11/(CG11*CH11),CF11/(CI11*CJ11)),0)</f>
        <v>0</v>
      </c>
      <c r="CN11" s="696">
        <f t="shared" si="10"/>
        <v>0</v>
      </c>
      <c r="CO11" s="704">
        <f t="shared" si="11"/>
        <v>0</v>
      </c>
      <c r="CP11" s="704">
        <f t="shared" si="35"/>
        <v>0</v>
      </c>
      <c r="CQ11" s="696">
        <f t="shared" si="36"/>
        <v>0</v>
      </c>
      <c r="CR11" s="696">
        <f t="shared" si="37"/>
        <v>0</v>
      </c>
      <c r="CS11" s="696">
        <f t="shared" si="38"/>
        <v>0</v>
      </c>
      <c r="CT11" s="639">
        <f>IFERROR(Feed!H148*Feed!K47,0)</f>
        <v>0</v>
      </c>
      <c r="CU11" s="484">
        <f>IFERROR(Feed!I148*Feed!T47,0)</f>
        <v>0</v>
      </c>
      <c r="CV11" s="484">
        <f>IFERROR(Feed!J148*Feed!AC47,0)</f>
        <v>0</v>
      </c>
      <c r="CW11" s="244">
        <f>VLOOKUP(INPUTS!$D$75,'Crop parameters'!$A$2:$Z$43,4,FALSE)*1000</f>
        <v>0</v>
      </c>
      <c r="CX11" s="404">
        <f>INPUTS!$E$90</f>
        <v>1</v>
      </c>
      <c r="CY11" s="244">
        <f>VLOOKUP(INPUTS!$D$75,'Crop parameters'!$A$2:$Z$43,8,FALSE)*1000</f>
        <v>0</v>
      </c>
      <c r="CZ11" s="404">
        <f>IF(INPUTS!$E$75="Residue",INPUTS!$F$90,0)</f>
        <v>0</v>
      </c>
      <c r="DA11" s="404">
        <f>IFERROR(IF(INPUTS!$E$75="Main",CT11/(CW11*CX11),CT11/(CY11*CZ11)),0)</f>
        <v>0</v>
      </c>
      <c r="DB11" s="404">
        <f>IFERROR(IF(INPUTS!$E$75="Main",CU11/(CW11*CX11),CU11/(CY11*CZ11)),0)</f>
        <v>0</v>
      </c>
      <c r="DC11" s="404">
        <f>IFERROR(IF(INPUTS!$E$75="Main",CV11/(CW11*CX11),CV11/(CY11*CZ11)),0)</f>
        <v>0</v>
      </c>
      <c r="DD11" s="696">
        <f t="shared" si="12"/>
        <v>0</v>
      </c>
      <c r="DE11" s="704">
        <f t="shared" si="13"/>
        <v>0</v>
      </c>
      <c r="DF11" s="704">
        <f t="shared" si="39"/>
        <v>0</v>
      </c>
      <c r="DG11" s="696">
        <f t="shared" si="40"/>
        <v>0</v>
      </c>
      <c r="DH11" s="696">
        <f t="shared" si="41"/>
        <v>0</v>
      </c>
      <c r="DI11" s="404">
        <f t="shared" si="42"/>
        <v>0</v>
      </c>
      <c r="DJ11" s="641">
        <f t="shared" si="43"/>
        <v>0</v>
      </c>
      <c r="DK11" s="641">
        <f t="shared" si="44"/>
        <v>0</v>
      </c>
      <c r="DL11" s="641">
        <f t="shared" si="45"/>
        <v>0</v>
      </c>
    </row>
    <row r="12" spans="1:116">
      <c r="A12" s="474">
        <f>'Livestock parameters'!A8</f>
        <v>0</v>
      </c>
      <c r="B12" s="639">
        <f>IFERROR(Feed!H149*Feed!E54,0)</f>
        <v>0</v>
      </c>
      <c r="C12" s="484">
        <f>IFERROR(Feed!I149*Feed!N54,0)</f>
        <v>0</v>
      </c>
      <c r="D12" s="484">
        <f>IFERROR(Feed!J149*Feed!W54,0)</f>
        <v>0</v>
      </c>
      <c r="E12" s="244">
        <f>VLOOKUP(INPUTS!$D$69,'Crop parameters'!$A$2:$Z$43,4,FALSE)*1000</f>
        <v>0</v>
      </c>
      <c r="F12" s="404">
        <f>INPUTS!$E$84</f>
        <v>1</v>
      </c>
      <c r="G12" s="244">
        <f>VLOOKUP(INPUTS!$D$69,'Crop parameters'!$A$2:$Z$43,8,FALSE)*1000</f>
        <v>0</v>
      </c>
      <c r="H12" s="404">
        <f>IF(INPUTS!$E$69="Residue",INPUTS!$F$84,0)</f>
        <v>0</v>
      </c>
      <c r="I12" s="404">
        <f>IFERROR(IF(INPUTS!$E$69="Main",B12/(E12*F12),B12/(G12*H12)),0)</f>
        <v>0</v>
      </c>
      <c r="J12" s="404">
        <f>IFERROR(IF(INPUTS!$E$69="Main",C12/(E12*F12),C12/(G12*H12)),0)</f>
        <v>0</v>
      </c>
      <c r="K12" s="404">
        <f>IFERROR(IF(INPUTS!$E$69="Main",D12/(E12*F12),D12/(G12*H12)),0)</f>
        <v>0</v>
      </c>
      <c r="L12" s="696">
        <f t="shared" si="0"/>
        <v>0</v>
      </c>
      <c r="M12" s="704">
        <f t="shared" si="1"/>
        <v>0</v>
      </c>
      <c r="N12" s="704">
        <f t="shared" si="15"/>
        <v>0</v>
      </c>
      <c r="O12" s="696">
        <f t="shared" si="16"/>
        <v>0</v>
      </c>
      <c r="P12" s="696">
        <f t="shared" si="17"/>
        <v>0</v>
      </c>
      <c r="Q12" s="696">
        <f t="shared" si="18"/>
        <v>0</v>
      </c>
      <c r="R12" s="639">
        <f>IFERROR(Feed!H149*Feed!F54,0)</f>
        <v>0</v>
      </c>
      <c r="S12" s="484">
        <f>IFERROR(Feed!I149*Feed!O54,0)</f>
        <v>0</v>
      </c>
      <c r="T12" s="484">
        <f>IFERROR(Feed!Z149*Feed!X54,0)</f>
        <v>0</v>
      </c>
      <c r="U12" s="244">
        <f>VLOOKUP(INPUTS!$D$70,'Crop parameters'!$A$2:$Z$43,4,FALSE)*1000</f>
        <v>22050</v>
      </c>
      <c r="V12" s="404">
        <f>INPUTS!$E$85</f>
        <v>1</v>
      </c>
      <c r="W12" s="244">
        <f>VLOOKUP(INPUTS!$D$70,'Crop parameters'!$A$2:$Z$43,8,FALSE)*1000</f>
        <v>11666.666666666662</v>
      </c>
      <c r="X12" s="404">
        <f>IF(INPUTS!$E$70="Residue",INPUTS!$F$85,0)</f>
        <v>0</v>
      </c>
      <c r="Y12" s="404">
        <f>IFERROR(IF(INPUTS!$E$70="Main",R12/(U12*V12),R12/(W12*X12)),0)</f>
        <v>0</v>
      </c>
      <c r="Z12" s="404">
        <f>IFERROR(IF(INPUTS!$E$70="Main",S12/(U12*V12),S12/(W12*X12)),0)</f>
        <v>0</v>
      </c>
      <c r="AA12" s="404">
        <f>IFERROR(IF(INPUTS!$E$70="Main",T12/(U12*V12),T12/(W12*X12)),0)</f>
        <v>0</v>
      </c>
      <c r="AB12" s="696">
        <f t="shared" si="2"/>
        <v>0</v>
      </c>
      <c r="AC12" s="704">
        <f t="shared" si="3"/>
        <v>0</v>
      </c>
      <c r="AD12" s="704">
        <f t="shared" si="19"/>
        <v>0</v>
      </c>
      <c r="AE12" s="696">
        <f t="shared" si="20"/>
        <v>0</v>
      </c>
      <c r="AF12" s="696">
        <f t="shared" si="21"/>
        <v>0</v>
      </c>
      <c r="AG12" s="696">
        <f t="shared" si="22"/>
        <v>0</v>
      </c>
      <c r="AH12" s="639">
        <f>IFERROR(Feed!H149*Feed!G54,0)</f>
        <v>0</v>
      </c>
      <c r="AI12" s="484">
        <f>IFERROR(Feed!I149*Feed!P54,0)</f>
        <v>0</v>
      </c>
      <c r="AJ12" s="484">
        <f>IFERROR(Feed!J149*Feed!Y54,0)</f>
        <v>0</v>
      </c>
      <c r="AK12" s="244">
        <f>VLOOKUP(INPUTS!$D$71,'Crop parameters'!$A$2:$Z$43,4,FALSE)*1000</f>
        <v>13500</v>
      </c>
      <c r="AL12" s="404">
        <f>INPUTS!$E$86</f>
        <v>1</v>
      </c>
      <c r="AM12" s="244">
        <f>VLOOKUP(INPUTS!$D$71,'Crop parameters'!$A$2:$Z$43,8,FALSE)*1000</f>
        <v>5999.9999999999982</v>
      </c>
      <c r="AN12" s="404">
        <f>IF(INPUTS!$E$71="Residue",INPUTS!$F$86,0)</f>
        <v>0</v>
      </c>
      <c r="AO12" s="404">
        <f>IFERROR(IF(INPUTS!$E$71="Main",AH12/(AK12*AL12),AH12/(AM12*AN12)),0)</f>
        <v>0</v>
      </c>
      <c r="AP12" s="404">
        <f>IFERROR(IF(INPUTS!$E$71="Main",AI12/(AK12*AL12),AI12/(AM12*AN12)),0)</f>
        <v>0</v>
      </c>
      <c r="AQ12" s="404">
        <f>IFERROR(IF(INPUTS!$E$71="Main",AJ12/(AK12*AL12),AJ12/(AM12*AN12)),0)</f>
        <v>0</v>
      </c>
      <c r="AR12" s="696">
        <f t="shared" si="4"/>
        <v>0</v>
      </c>
      <c r="AS12" s="704">
        <f t="shared" si="5"/>
        <v>0</v>
      </c>
      <c r="AT12" s="704">
        <f t="shared" si="23"/>
        <v>0</v>
      </c>
      <c r="AU12" s="696">
        <f t="shared" si="24"/>
        <v>0</v>
      </c>
      <c r="AV12" s="696">
        <f t="shared" si="25"/>
        <v>0</v>
      </c>
      <c r="AW12" s="696">
        <f t="shared" si="26"/>
        <v>0</v>
      </c>
      <c r="AX12" s="698">
        <f>IFERROR(Feed!H149*Feed!H54,0)</f>
        <v>0</v>
      </c>
      <c r="AY12" s="484">
        <f>IFERROR(Feed!I149*Feed!Q54,0)</f>
        <v>0</v>
      </c>
      <c r="AZ12" s="484">
        <f>IFERROR(Feed!J149*Feed!Z54,0)</f>
        <v>0</v>
      </c>
      <c r="BA12" s="244">
        <f>VLOOKUP(INPUTS!$D$72,'Crop parameters'!$A$2:$Z$43,4,FALSE)*1000</f>
        <v>19800</v>
      </c>
      <c r="BB12" s="404">
        <f>INPUTS!$E$87</f>
        <v>1</v>
      </c>
      <c r="BC12" s="244">
        <f>VLOOKUP(INPUTS!$D$72,'Crop parameters'!$A$2:$Z$43,8,FALSE)*1000</f>
        <v>9999.9999999999964</v>
      </c>
      <c r="BD12" s="404">
        <f>IF(INPUTS!$E$72="Residue",INPUTS!$F$87,0)</f>
        <v>0</v>
      </c>
      <c r="BE12" s="404">
        <f>IFERROR(IF(INPUTS!$E$72="Main",AX12/(BA12*BB12),AX12/(BC12*BD12)),0)</f>
        <v>0</v>
      </c>
      <c r="BF12" s="404">
        <f>IFERROR(IF(INPUTS!$E$72="Main",AY12/(BA12*BB12),AY12/(BC12*BD12)),0)</f>
        <v>0</v>
      </c>
      <c r="BG12" s="404">
        <f>IFERROR(IF(INPUTS!$E$72="Main",AZ12/(BA12*BB12),AZ12/(BC12*BD12)),0)</f>
        <v>0</v>
      </c>
      <c r="BH12" s="696">
        <f t="shared" si="6"/>
        <v>0</v>
      </c>
      <c r="BI12" s="704">
        <f t="shared" si="7"/>
        <v>0</v>
      </c>
      <c r="BJ12" s="704">
        <f t="shared" si="27"/>
        <v>0</v>
      </c>
      <c r="BK12" s="696">
        <f t="shared" si="28"/>
        <v>0</v>
      </c>
      <c r="BL12" s="696">
        <f t="shared" si="29"/>
        <v>0</v>
      </c>
      <c r="BM12" s="696">
        <f t="shared" si="30"/>
        <v>0</v>
      </c>
      <c r="BN12" s="639">
        <f>IFERROR(Feed!H149*Feed!I54,0)</f>
        <v>0</v>
      </c>
      <c r="BO12" s="484">
        <f>IFERROR(Feed!I149*Feed!R54,0)</f>
        <v>0</v>
      </c>
      <c r="BP12" s="484">
        <f>IFERROR(Feed!J149*Feed!AA54,0)</f>
        <v>0</v>
      </c>
      <c r="BQ12" s="244">
        <f>VLOOKUP(INPUTS!$D$73,'Crop parameters'!$A$2:$Z$43,4,FALSE)*1000</f>
        <v>1299</v>
      </c>
      <c r="BR12" s="404">
        <f>INPUTS!$E$88</f>
        <v>0.4</v>
      </c>
      <c r="BS12" s="244">
        <f>VLOOKUP(INPUTS!$D$73,'Crop parameters'!$A$2:$Z$43,8,FALSE)*1000</f>
        <v>3582.4421538461534</v>
      </c>
      <c r="BT12" s="404">
        <f>IF(INPUTS!$E$73="Residue",INPUTS!$F$88,0)</f>
        <v>0.6</v>
      </c>
      <c r="BU12" s="404">
        <f>IFERROR(IF(INPUTS!$E$73="Main",BN12/(BQ12*BR12),BN12/(BS12*BT12)),0)</f>
        <v>0</v>
      </c>
      <c r="BV12" s="404">
        <f>IFERROR(IF(INPUTS!$E$73="Main",BO12/(BQ12*BR12),BO12/(BS12*BT12)),0)</f>
        <v>0</v>
      </c>
      <c r="BW12" s="404">
        <f>IFERROR(IF(INPUTS!$E$73="Main",BP12/(BQ12*BR12),BP12/(BS12*BT12)),0)</f>
        <v>0</v>
      </c>
      <c r="BX12" s="696">
        <f t="shared" si="8"/>
        <v>0</v>
      </c>
      <c r="BY12" s="704">
        <f t="shared" si="9"/>
        <v>0</v>
      </c>
      <c r="BZ12" s="704">
        <f t="shared" si="31"/>
        <v>0</v>
      </c>
      <c r="CA12" s="696">
        <f t="shared" si="32"/>
        <v>0</v>
      </c>
      <c r="CB12" s="696">
        <f t="shared" si="33"/>
        <v>0</v>
      </c>
      <c r="CC12" s="696">
        <f t="shared" si="34"/>
        <v>0</v>
      </c>
      <c r="CD12" s="639">
        <f>IFERROR(Feed!H149*Feed!J54,0)</f>
        <v>0</v>
      </c>
      <c r="CE12" s="484">
        <f>IFERROR(Feed!I149*Feed!S54,0)</f>
        <v>0</v>
      </c>
      <c r="CF12" s="484">
        <f>IFERROR(Feed!J149*Feed!AB54,0)</f>
        <v>0</v>
      </c>
      <c r="CG12" s="244">
        <f>VLOOKUP(INPUTS!$D$74,'Crop parameters'!$A$2:$Z$43,4,FALSE)*1000</f>
        <v>13049.999999999998</v>
      </c>
      <c r="CH12" s="404">
        <f>INPUTS!$E$89</f>
        <v>1</v>
      </c>
      <c r="CI12" s="244">
        <f>VLOOKUP(INPUTS!$D$74,'Crop parameters'!$A$2:$Z$43,8,FALSE)*1000</f>
        <v>4999.9999999999982</v>
      </c>
      <c r="CJ12" s="404">
        <f>IF(INPUTS!$E$74="Residue",INPUTS!$F$89,0)</f>
        <v>0</v>
      </c>
      <c r="CK12" s="404">
        <f>IFERROR(IF(INPUTS!$E$74="Main",CD12/(CG12*CH12),CD12/(CI12*CJ12)),0)</f>
        <v>0</v>
      </c>
      <c r="CL12" s="404">
        <f>IFERROR(IF(INPUTS!$E$74="Main",CE12/(CG12*CH12),CE12/(CI12*CJ12)),0)</f>
        <v>0</v>
      </c>
      <c r="CM12" s="404">
        <f>IFERROR(IF(INPUTS!$E$74="Main",CF12/(CG12*CH12),CF12/(CI12*CJ12)),0)</f>
        <v>0</v>
      </c>
      <c r="CN12" s="696">
        <f t="shared" si="10"/>
        <v>0</v>
      </c>
      <c r="CO12" s="704">
        <f t="shared" si="11"/>
        <v>0</v>
      </c>
      <c r="CP12" s="704">
        <f t="shared" si="35"/>
        <v>0</v>
      </c>
      <c r="CQ12" s="696">
        <f t="shared" si="36"/>
        <v>0</v>
      </c>
      <c r="CR12" s="696">
        <f t="shared" si="37"/>
        <v>0</v>
      </c>
      <c r="CS12" s="696">
        <f t="shared" si="38"/>
        <v>0</v>
      </c>
      <c r="CT12" s="639">
        <f>IFERROR(Feed!H149*Feed!K54,0)</f>
        <v>0</v>
      </c>
      <c r="CU12" s="484">
        <f>IFERROR(Feed!I149*Feed!T54,0)</f>
        <v>0</v>
      </c>
      <c r="CV12" s="484">
        <f>IFERROR(Feed!J149*Feed!AC54,0)</f>
        <v>0</v>
      </c>
      <c r="CW12" s="244">
        <f>VLOOKUP(INPUTS!$D$75,'Crop parameters'!$A$2:$Z$43,4,FALSE)*1000</f>
        <v>0</v>
      </c>
      <c r="CX12" s="404">
        <f>INPUTS!$E$90</f>
        <v>1</v>
      </c>
      <c r="CY12" s="244">
        <f>VLOOKUP(INPUTS!$D$75,'Crop parameters'!$A$2:$Z$43,8,FALSE)*1000</f>
        <v>0</v>
      </c>
      <c r="CZ12" s="404">
        <f>IF(INPUTS!$E$75="Residue",INPUTS!$F$90,0)</f>
        <v>0</v>
      </c>
      <c r="DA12" s="404">
        <f>IFERROR(IF(INPUTS!$E$75="Main",CT12/(CW12*CX12),CT12/(CY12*CZ12)),0)</f>
        <v>0</v>
      </c>
      <c r="DB12" s="404">
        <f>IFERROR(IF(INPUTS!$E$75="Main",CU12/(CW12*CX12),CU12/(CY12*CZ12)),0)</f>
        <v>0</v>
      </c>
      <c r="DC12" s="404">
        <f>IFERROR(IF(INPUTS!$E$75="Main",CV12/(CW12*CX12),CV12/(CY12*CZ12)),0)</f>
        <v>0</v>
      </c>
      <c r="DD12" s="696">
        <f t="shared" si="12"/>
        <v>0</v>
      </c>
      <c r="DE12" s="704">
        <f t="shared" si="13"/>
        <v>0</v>
      </c>
      <c r="DF12" s="704">
        <f t="shared" si="39"/>
        <v>0</v>
      </c>
      <c r="DG12" s="696">
        <f t="shared" si="40"/>
        <v>0</v>
      </c>
      <c r="DH12" s="696">
        <f t="shared" si="41"/>
        <v>0</v>
      </c>
      <c r="DI12" s="404">
        <f t="shared" si="42"/>
        <v>0</v>
      </c>
      <c r="DJ12" s="641">
        <f t="shared" si="43"/>
        <v>0</v>
      </c>
      <c r="DK12" s="641">
        <f t="shared" si="44"/>
        <v>0</v>
      </c>
      <c r="DL12" s="641">
        <f t="shared" si="45"/>
        <v>0</v>
      </c>
    </row>
    <row r="13" spans="1:116">
      <c r="A13" s="474">
        <f>'Livestock parameters'!A9</f>
        <v>0</v>
      </c>
      <c r="B13" s="639">
        <f>IFERROR(Feed!H150*Feed!E61,0)</f>
        <v>0</v>
      </c>
      <c r="C13" s="484">
        <f>IFERROR(Feed!I150*Feed!N61,0)</f>
        <v>0</v>
      </c>
      <c r="D13" s="484">
        <f>IFERROR(Feed!J150*Feed!W61,0)</f>
        <v>0</v>
      </c>
      <c r="E13" s="244">
        <f>VLOOKUP(INPUTS!$D$69,'Crop parameters'!$A$2:$Z$43,4,FALSE)*1000</f>
        <v>0</v>
      </c>
      <c r="F13" s="404">
        <f>INPUTS!$E$84</f>
        <v>1</v>
      </c>
      <c r="G13" s="244">
        <f>VLOOKUP(INPUTS!$D$69,'Crop parameters'!$A$2:$Z$43,8,FALSE)*1000</f>
        <v>0</v>
      </c>
      <c r="H13" s="404">
        <f>IF(INPUTS!$E$69="Residue",INPUTS!$F$84,0)</f>
        <v>0</v>
      </c>
      <c r="I13" s="404">
        <f>IFERROR(IF(INPUTS!$E$69="Main",B13/(E13*F13),B13/(G13*H13)),0)</f>
        <v>0</v>
      </c>
      <c r="J13" s="404">
        <f>IFERROR(IF(INPUTS!$E$69="Main",C13/(E13*F13),C13/(G13*H13)),0)</f>
        <v>0</v>
      </c>
      <c r="K13" s="404">
        <f>IFERROR(IF(INPUTS!$E$69="Main",D13/(E13*F13),D13/(G13*H13)),0)</f>
        <v>0</v>
      </c>
      <c r="L13" s="696">
        <f t="shared" si="0"/>
        <v>0</v>
      </c>
      <c r="M13" s="704">
        <f t="shared" si="1"/>
        <v>0</v>
      </c>
      <c r="N13" s="704">
        <f t="shared" si="15"/>
        <v>0</v>
      </c>
      <c r="O13" s="696">
        <f t="shared" si="16"/>
        <v>0</v>
      </c>
      <c r="P13" s="696">
        <f t="shared" si="17"/>
        <v>0</v>
      </c>
      <c r="Q13" s="696">
        <f t="shared" si="18"/>
        <v>0</v>
      </c>
      <c r="R13" s="639">
        <f>IFERROR(Feed!H150*Feed!F61,0)</f>
        <v>0</v>
      </c>
      <c r="S13" s="484">
        <f>IFERROR(Feed!I150*Feed!O61,0)</f>
        <v>0</v>
      </c>
      <c r="T13" s="484">
        <f>IFERROR(Feed!Z150*Feed!X61,0)</f>
        <v>0</v>
      </c>
      <c r="U13" s="244">
        <f>VLOOKUP(INPUTS!$D$70,'Crop parameters'!$A$2:$Z$43,4,FALSE)*1000</f>
        <v>22050</v>
      </c>
      <c r="V13" s="404">
        <f>INPUTS!$E$85</f>
        <v>1</v>
      </c>
      <c r="W13" s="244">
        <f>VLOOKUP(INPUTS!$D$70,'Crop parameters'!$A$2:$Z$43,8,FALSE)*1000</f>
        <v>11666.666666666662</v>
      </c>
      <c r="X13" s="404">
        <f>IF(INPUTS!$E$70="Residue",INPUTS!$F$85,0)</f>
        <v>0</v>
      </c>
      <c r="Y13" s="404">
        <f>IFERROR(IF(INPUTS!$E$70="Main",R13/(U13*V13),R13/(W13*X13)),0)</f>
        <v>0</v>
      </c>
      <c r="Z13" s="404">
        <f>IFERROR(IF(INPUTS!$E$70="Main",S13/(U13*V13),S13/(W13*X13)),0)</f>
        <v>0</v>
      </c>
      <c r="AA13" s="404">
        <f>IFERROR(IF(INPUTS!$E$70="Main",T13/(U13*V13),T13/(W13*X13)),0)</f>
        <v>0</v>
      </c>
      <c r="AB13" s="696">
        <f t="shared" si="2"/>
        <v>0</v>
      </c>
      <c r="AC13" s="704">
        <f t="shared" si="3"/>
        <v>0</v>
      </c>
      <c r="AD13" s="704">
        <f t="shared" si="19"/>
        <v>0</v>
      </c>
      <c r="AE13" s="696">
        <f t="shared" si="20"/>
        <v>0</v>
      </c>
      <c r="AF13" s="696">
        <f t="shared" si="21"/>
        <v>0</v>
      </c>
      <c r="AG13" s="696">
        <f t="shared" si="22"/>
        <v>0</v>
      </c>
      <c r="AH13" s="639">
        <f>IFERROR(Feed!H150*Feed!G61,0)</f>
        <v>0</v>
      </c>
      <c r="AI13" s="484">
        <f>IFERROR(Feed!I150*Feed!P61,0)</f>
        <v>0</v>
      </c>
      <c r="AJ13" s="484">
        <f>IFERROR(Feed!J150*Feed!Y61,0)</f>
        <v>0</v>
      </c>
      <c r="AK13" s="244">
        <f>VLOOKUP(INPUTS!$D$71,'Crop parameters'!$A$2:$Z$43,4,FALSE)*1000</f>
        <v>13500</v>
      </c>
      <c r="AL13" s="404">
        <f>INPUTS!$E$86</f>
        <v>1</v>
      </c>
      <c r="AM13" s="244">
        <f>VLOOKUP(INPUTS!$D$71,'Crop parameters'!$A$2:$Z$43,8,FALSE)*1000</f>
        <v>5999.9999999999982</v>
      </c>
      <c r="AN13" s="404">
        <f>IF(INPUTS!$E$71="Residue",INPUTS!$F$86,0)</f>
        <v>0</v>
      </c>
      <c r="AO13" s="404">
        <f>IFERROR(IF(INPUTS!$E$71="Main",AH13/(AK13*AL13),AH13/(AM13*AN13)),0)</f>
        <v>0</v>
      </c>
      <c r="AP13" s="404">
        <f>IFERROR(IF(INPUTS!$E$71="Main",AI13/(AK13*AL13),AI13/(AM13*AN13)),0)</f>
        <v>0</v>
      </c>
      <c r="AQ13" s="404">
        <f>IFERROR(IF(INPUTS!$E$71="Main",AJ13/(AK13*AL13),AJ13/(AM13*AN13)),0)</f>
        <v>0</v>
      </c>
      <c r="AR13" s="696">
        <f t="shared" si="4"/>
        <v>0</v>
      </c>
      <c r="AS13" s="704">
        <f t="shared" si="5"/>
        <v>0</v>
      </c>
      <c r="AT13" s="704">
        <f t="shared" si="23"/>
        <v>0</v>
      </c>
      <c r="AU13" s="696">
        <f t="shared" si="24"/>
        <v>0</v>
      </c>
      <c r="AV13" s="696">
        <f t="shared" si="25"/>
        <v>0</v>
      </c>
      <c r="AW13" s="696">
        <f t="shared" si="26"/>
        <v>0</v>
      </c>
      <c r="AX13" s="698">
        <f>IFERROR(Feed!H150*Feed!H61,0)</f>
        <v>0</v>
      </c>
      <c r="AY13" s="484">
        <f>IFERROR(Feed!I150*Feed!Q61,0)</f>
        <v>0</v>
      </c>
      <c r="AZ13" s="484">
        <f>IFERROR(Feed!J150*Feed!Z61,0)</f>
        <v>0</v>
      </c>
      <c r="BA13" s="244">
        <f>VLOOKUP(INPUTS!$D$72,'Crop parameters'!$A$2:$Z$43,4,FALSE)*1000</f>
        <v>19800</v>
      </c>
      <c r="BB13" s="404">
        <f>INPUTS!$E$87</f>
        <v>1</v>
      </c>
      <c r="BC13" s="244">
        <f>VLOOKUP(INPUTS!$D$72,'Crop parameters'!$A$2:$Z$43,8,FALSE)*1000</f>
        <v>9999.9999999999964</v>
      </c>
      <c r="BD13" s="404">
        <f>IF(INPUTS!$E$72="Residue",INPUTS!$F$87,0)</f>
        <v>0</v>
      </c>
      <c r="BE13" s="404">
        <f>IFERROR(IF(INPUTS!$E$72="Main",AX13/(BA13*BB13),AX13/(BC13*BD13)),0)</f>
        <v>0</v>
      </c>
      <c r="BF13" s="404">
        <f>IFERROR(IF(INPUTS!$E$72="Main",AY13/(BA13*BB13),AY13/(BC13*BD13)),0)</f>
        <v>0</v>
      </c>
      <c r="BG13" s="404">
        <f>IFERROR(IF(INPUTS!$E$72="Main",AZ13/(BA13*BB13),AZ13/(BC13*BD13)),0)</f>
        <v>0</v>
      </c>
      <c r="BH13" s="696">
        <f t="shared" si="6"/>
        <v>0</v>
      </c>
      <c r="BI13" s="704">
        <f t="shared" si="7"/>
        <v>0</v>
      </c>
      <c r="BJ13" s="704">
        <f t="shared" si="27"/>
        <v>0</v>
      </c>
      <c r="BK13" s="696">
        <f t="shared" si="28"/>
        <v>0</v>
      </c>
      <c r="BL13" s="696">
        <f t="shared" si="29"/>
        <v>0</v>
      </c>
      <c r="BM13" s="696">
        <f t="shared" si="30"/>
        <v>0</v>
      </c>
      <c r="BN13" s="639">
        <f>IFERROR(Feed!H150*Feed!I61,0)</f>
        <v>0</v>
      </c>
      <c r="BO13" s="484">
        <f>IFERROR(Feed!I150*Feed!R61,0)</f>
        <v>0</v>
      </c>
      <c r="BP13" s="484">
        <f>IFERROR(Feed!J150*Feed!AA61,0)</f>
        <v>0</v>
      </c>
      <c r="BQ13" s="244">
        <f>VLOOKUP(INPUTS!$D$73,'Crop parameters'!$A$2:$Z$43,4,FALSE)*1000</f>
        <v>1299</v>
      </c>
      <c r="BR13" s="404">
        <f>INPUTS!$E$88</f>
        <v>0.4</v>
      </c>
      <c r="BS13" s="244">
        <f>VLOOKUP(INPUTS!$D$73,'Crop parameters'!$A$2:$Z$43,8,FALSE)*1000</f>
        <v>3582.4421538461534</v>
      </c>
      <c r="BT13" s="404">
        <f>IF(INPUTS!$E$73="Residue",INPUTS!$F$88,0)</f>
        <v>0.6</v>
      </c>
      <c r="BU13" s="404">
        <f>IFERROR(IF(INPUTS!$E$73="Main",BN13/(BQ13*BR13),BN13/(BS13*BT13)),0)</f>
        <v>0</v>
      </c>
      <c r="BV13" s="404">
        <f>IFERROR(IF(INPUTS!$E$73="Main",BO13/(BQ13*BR13),BO13/(BS13*BT13)),0)</f>
        <v>0</v>
      </c>
      <c r="BW13" s="404">
        <f>IFERROR(IF(INPUTS!$E$73="Main",BP13/(BQ13*BR13),BP13/(BS13*BT13)),0)</f>
        <v>0</v>
      </c>
      <c r="BX13" s="696">
        <f t="shared" si="8"/>
        <v>0</v>
      </c>
      <c r="BY13" s="704">
        <f t="shared" si="9"/>
        <v>0</v>
      </c>
      <c r="BZ13" s="704">
        <f t="shared" si="31"/>
        <v>0</v>
      </c>
      <c r="CA13" s="696">
        <f t="shared" si="32"/>
        <v>0</v>
      </c>
      <c r="CB13" s="696">
        <f t="shared" si="33"/>
        <v>0</v>
      </c>
      <c r="CC13" s="696">
        <f t="shared" si="34"/>
        <v>0</v>
      </c>
      <c r="CD13" s="639">
        <f>IFERROR(Feed!H150*Feed!J61,0)</f>
        <v>0</v>
      </c>
      <c r="CE13" s="484">
        <f>IFERROR(Feed!I150*Feed!S61,0)</f>
        <v>0</v>
      </c>
      <c r="CF13" s="484">
        <f>IFERROR(Feed!J150*Feed!AB61,0)</f>
        <v>0</v>
      </c>
      <c r="CG13" s="244">
        <f>VLOOKUP(INPUTS!$D$74,'Crop parameters'!$A$2:$Z$43,4,FALSE)*1000</f>
        <v>13049.999999999998</v>
      </c>
      <c r="CH13" s="404">
        <f>INPUTS!$E$89</f>
        <v>1</v>
      </c>
      <c r="CI13" s="244">
        <f>VLOOKUP(INPUTS!$D$74,'Crop parameters'!$A$2:$Z$43,8,FALSE)*1000</f>
        <v>4999.9999999999982</v>
      </c>
      <c r="CJ13" s="404">
        <f>IF(INPUTS!$E$74="Residue",INPUTS!$F$89,0)</f>
        <v>0</v>
      </c>
      <c r="CK13" s="404">
        <f>IFERROR(IF(INPUTS!$E$74="Main",CD13/(CG13*CH13),CD13/(CI13*CJ13)),0)</f>
        <v>0</v>
      </c>
      <c r="CL13" s="404">
        <f>IFERROR(IF(INPUTS!$E$74="Main",CE13/(CG13*CH13),CE13/(CI13*CJ13)),0)</f>
        <v>0</v>
      </c>
      <c r="CM13" s="404">
        <f>IFERROR(IF(INPUTS!$E$74="Main",CF13/(CG13*CH13),CF13/(CI13*CJ13)),0)</f>
        <v>0</v>
      </c>
      <c r="CN13" s="696">
        <f t="shared" si="10"/>
        <v>0</v>
      </c>
      <c r="CO13" s="704">
        <f t="shared" si="11"/>
        <v>0</v>
      </c>
      <c r="CP13" s="704">
        <f t="shared" si="35"/>
        <v>0</v>
      </c>
      <c r="CQ13" s="696">
        <f t="shared" si="36"/>
        <v>0</v>
      </c>
      <c r="CR13" s="696">
        <f t="shared" si="37"/>
        <v>0</v>
      </c>
      <c r="CS13" s="696">
        <f t="shared" si="38"/>
        <v>0</v>
      </c>
      <c r="CT13" s="639">
        <f>IFERROR(Feed!H150*Feed!K61,0)</f>
        <v>0</v>
      </c>
      <c r="CU13" s="484">
        <f>IFERROR(Feed!I150*Feed!T61,0)</f>
        <v>0</v>
      </c>
      <c r="CV13" s="484">
        <f>IFERROR(Feed!J150*Feed!AC61,0)</f>
        <v>0</v>
      </c>
      <c r="CW13" s="244">
        <f>VLOOKUP(INPUTS!$D$75,'Crop parameters'!$A$2:$Z$43,4,FALSE)*1000</f>
        <v>0</v>
      </c>
      <c r="CX13" s="404">
        <f>INPUTS!$E$90</f>
        <v>1</v>
      </c>
      <c r="CY13" s="244">
        <f>VLOOKUP(INPUTS!$D$75,'Crop parameters'!$A$2:$Z$43,8,FALSE)*1000</f>
        <v>0</v>
      </c>
      <c r="CZ13" s="404">
        <f>IF(INPUTS!$E$75="Residue",INPUTS!$F$90,0)</f>
        <v>0</v>
      </c>
      <c r="DA13" s="404">
        <f>IFERROR(IF(INPUTS!$E$75="Main",CT13/(CW13*CX13),CT13/(CY13*CZ13)),0)</f>
        <v>0</v>
      </c>
      <c r="DB13" s="404">
        <f>IFERROR(IF(INPUTS!$E$75="Main",CU13/(CW13*CX13),CU13/(CY13*CZ13)),0)</f>
        <v>0</v>
      </c>
      <c r="DC13" s="404">
        <f>IFERROR(IF(INPUTS!$E$75="Main",CV13/(CW13*CX13),CV13/(CY13*CZ13)),0)</f>
        <v>0</v>
      </c>
      <c r="DD13" s="696">
        <f t="shared" si="12"/>
        <v>0</v>
      </c>
      <c r="DE13" s="704">
        <f t="shared" si="13"/>
        <v>0</v>
      </c>
      <c r="DF13" s="704">
        <f t="shared" si="39"/>
        <v>0</v>
      </c>
      <c r="DG13" s="696">
        <f t="shared" si="40"/>
        <v>0</v>
      </c>
      <c r="DH13" s="696">
        <f t="shared" si="41"/>
        <v>0</v>
      </c>
      <c r="DI13" s="404">
        <f t="shared" si="42"/>
        <v>0</v>
      </c>
      <c r="DJ13" s="641">
        <f t="shared" si="43"/>
        <v>0</v>
      </c>
      <c r="DK13" s="641">
        <f t="shared" si="44"/>
        <v>0</v>
      </c>
      <c r="DL13" s="641">
        <f t="shared" si="45"/>
        <v>0</v>
      </c>
    </row>
    <row r="14" spans="1:116">
      <c r="A14" s="474">
        <f>'Livestock parameters'!A10</f>
        <v>0</v>
      </c>
      <c r="B14" s="639">
        <f>IFERROR(Feed!H151*Feed!E68,0)</f>
        <v>0</v>
      </c>
      <c r="C14" s="484">
        <f>IFERROR(Feed!I151*Feed!N68,0)</f>
        <v>0</v>
      </c>
      <c r="D14" s="484">
        <f>IFERROR(Feed!J151*Feed!W68,0)</f>
        <v>0</v>
      </c>
      <c r="E14" s="244">
        <f>VLOOKUP(INPUTS!$D$69,'Crop parameters'!$A$2:$Z$43,4,FALSE)*1000</f>
        <v>0</v>
      </c>
      <c r="F14" s="404">
        <f>INPUTS!$E$84</f>
        <v>1</v>
      </c>
      <c r="G14" s="244">
        <f>VLOOKUP(INPUTS!$D$69,'Crop parameters'!$A$2:$Z$43,8,FALSE)*1000</f>
        <v>0</v>
      </c>
      <c r="H14" s="404">
        <f>IF(INPUTS!$E$69="Residue",INPUTS!$F$84,0)</f>
        <v>0</v>
      </c>
      <c r="I14" s="404">
        <f>IFERROR(IF(INPUTS!$E$69="Main",B14/(E14*F14),B14/(G14*H14)),0)</f>
        <v>0</v>
      </c>
      <c r="J14" s="404">
        <f>IFERROR(IF(INPUTS!$E$69="Main",C14/(E14*F14),C14/(G14*H14)),0)</f>
        <v>0</v>
      </c>
      <c r="K14" s="404">
        <f>IFERROR(IF(INPUTS!$E$69="Main",D14/(E14*F14),D14/(G14*H14)),0)</f>
        <v>0</v>
      </c>
      <c r="L14" s="696">
        <f t="shared" si="0"/>
        <v>0</v>
      </c>
      <c r="M14" s="704">
        <f t="shared" si="1"/>
        <v>0</v>
      </c>
      <c r="N14" s="704">
        <f t="shared" si="15"/>
        <v>0</v>
      </c>
      <c r="O14" s="696">
        <f t="shared" si="16"/>
        <v>0</v>
      </c>
      <c r="P14" s="696">
        <f t="shared" si="17"/>
        <v>0</v>
      </c>
      <c r="Q14" s="696">
        <f t="shared" si="18"/>
        <v>0</v>
      </c>
      <c r="R14" s="639">
        <f>IFERROR(Feed!H151*Feed!F68,0)</f>
        <v>0</v>
      </c>
      <c r="S14" s="484">
        <f>IFERROR(Feed!I151*Feed!O68,0)</f>
        <v>0</v>
      </c>
      <c r="T14" s="484">
        <f>IFERROR(Feed!Z151*Feed!X68,0)</f>
        <v>0</v>
      </c>
      <c r="U14" s="244">
        <f>VLOOKUP(INPUTS!$D$70,'Crop parameters'!$A$2:$Z$43,4,FALSE)*1000</f>
        <v>22050</v>
      </c>
      <c r="V14" s="404">
        <f>INPUTS!$E$85</f>
        <v>1</v>
      </c>
      <c r="W14" s="244">
        <f>VLOOKUP(INPUTS!$D$70,'Crop parameters'!$A$2:$Z$43,8,FALSE)*1000</f>
        <v>11666.666666666662</v>
      </c>
      <c r="X14" s="404">
        <f>IF(INPUTS!$E$70="Residue",INPUTS!$F$85,0)</f>
        <v>0</v>
      </c>
      <c r="Y14" s="404">
        <f>IFERROR(IF(INPUTS!$E$70="Main",R14/(U14*V14),R14/(W14*X14)),0)</f>
        <v>0</v>
      </c>
      <c r="Z14" s="404">
        <f>IFERROR(IF(INPUTS!$E$70="Main",S14/(U14*V14),S14/(W14*X14)),0)</f>
        <v>0</v>
      </c>
      <c r="AA14" s="404">
        <f>IFERROR(IF(INPUTS!$E$70="Main",T14/(U14*V14),T14/(W14*X14)),0)</f>
        <v>0</v>
      </c>
      <c r="AB14" s="696">
        <f t="shared" si="2"/>
        <v>0</v>
      </c>
      <c r="AC14" s="704">
        <f t="shared" si="3"/>
        <v>0</v>
      </c>
      <c r="AD14" s="704">
        <f t="shared" si="19"/>
        <v>0</v>
      </c>
      <c r="AE14" s="696">
        <f t="shared" si="20"/>
        <v>0</v>
      </c>
      <c r="AF14" s="696">
        <f t="shared" si="21"/>
        <v>0</v>
      </c>
      <c r="AG14" s="696">
        <f t="shared" si="22"/>
        <v>0</v>
      </c>
      <c r="AH14" s="639">
        <f>IFERROR(Feed!H151*Feed!G68,0)</f>
        <v>0</v>
      </c>
      <c r="AI14" s="484">
        <f>IFERROR(Feed!I151*Feed!P68,0)</f>
        <v>0</v>
      </c>
      <c r="AJ14" s="484">
        <f>IFERROR(Feed!J151*Feed!Y68,0)</f>
        <v>0</v>
      </c>
      <c r="AK14" s="244">
        <f>VLOOKUP(INPUTS!$D$71,'Crop parameters'!$A$2:$Z$43,4,FALSE)*1000</f>
        <v>13500</v>
      </c>
      <c r="AL14" s="404">
        <f>INPUTS!$E$86</f>
        <v>1</v>
      </c>
      <c r="AM14" s="244">
        <f>VLOOKUP(INPUTS!$D$71,'Crop parameters'!$A$2:$Z$43,8,FALSE)*1000</f>
        <v>5999.9999999999982</v>
      </c>
      <c r="AN14" s="404">
        <f>IF(INPUTS!$E$71="Residue",INPUTS!$F$86,0)</f>
        <v>0</v>
      </c>
      <c r="AO14" s="404">
        <f>IFERROR(IF(INPUTS!$E$71="Main",AH14/(AK14*AL14),AH14/(AM14*AN14)),0)</f>
        <v>0</v>
      </c>
      <c r="AP14" s="404">
        <f>IFERROR(IF(INPUTS!$E$71="Main",AI14/(AK14*AL14),AI14/(AM14*AN14)),0)</f>
        <v>0</v>
      </c>
      <c r="AQ14" s="404">
        <f>IFERROR(IF(INPUTS!$E$71="Main",AJ14/(AK14*AL14),AJ14/(AM14*AN14)),0)</f>
        <v>0</v>
      </c>
      <c r="AR14" s="696">
        <f t="shared" si="4"/>
        <v>0</v>
      </c>
      <c r="AS14" s="704">
        <f t="shared" si="5"/>
        <v>0</v>
      </c>
      <c r="AT14" s="704">
        <f t="shared" si="23"/>
        <v>0</v>
      </c>
      <c r="AU14" s="696">
        <f t="shared" si="24"/>
        <v>0</v>
      </c>
      <c r="AV14" s="696">
        <f t="shared" si="25"/>
        <v>0</v>
      </c>
      <c r="AW14" s="696">
        <f t="shared" si="26"/>
        <v>0</v>
      </c>
      <c r="AX14" s="698">
        <f>IFERROR(Feed!H151*Feed!H68,0)</f>
        <v>0</v>
      </c>
      <c r="AY14" s="484">
        <f>IFERROR(Feed!I151*Feed!Q68,0)</f>
        <v>0</v>
      </c>
      <c r="AZ14" s="484">
        <f>IFERROR(Feed!J151*Feed!Z68,0)</f>
        <v>0</v>
      </c>
      <c r="BA14" s="244">
        <f>VLOOKUP(INPUTS!$D$72,'Crop parameters'!$A$2:$Z$43,4,FALSE)*1000</f>
        <v>19800</v>
      </c>
      <c r="BB14" s="404">
        <f>INPUTS!$E$87</f>
        <v>1</v>
      </c>
      <c r="BC14" s="244">
        <f>VLOOKUP(INPUTS!$D$72,'Crop parameters'!$A$2:$Z$43,8,FALSE)*1000</f>
        <v>9999.9999999999964</v>
      </c>
      <c r="BD14" s="404">
        <f>IF(INPUTS!$E$72="Residue",INPUTS!$F$87,0)</f>
        <v>0</v>
      </c>
      <c r="BE14" s="404">
        <f>IFERROR(IF(INPUTS!$E$72="Main",AX14/(BA14*BB14),AX14/(BC14*BD14)),0)</f>
        <v>0</v>
      </c>
      <c r="BF14" s="404">
        <f>IFERROR(IF(INPUTS!$E$72="Main",AY14/(BA14*BB14),AY14/(BC14*BD14)),0)</f>
        <v>0</v>
      </c>
      <c r="BG14" s="404">
        <f>IFERROR(IF(INPUTS!$E$72="Main",AZ14/(BA14*BB14),AZ14/(BC14*BD14)),0)</f>
        <v>0</v>
      </c>
      <c r="BH14" s="696">
        <f t="shared" si="6"/>
        <v>0</v>
      </c>
      <c r="BI14" s="704">
        <f t="shared" si="7"/>
        <v>0</v>
      </c>
      <c r="BJ14" s="704">
        <f t="shared" si="27"/>
        <v>0</v>
      </c>
      <c r="BK14" s="696">
        <f t="shared" si="28"/>
        <v>0</v>
      </c>
      <c r="BL14" s="696">
        <f t="shared" si="29"/>
        <v>0</v>
      </c>
      <c r="BM14" s="696">
        <f t="shared" si="30"/>
        <v>0</v>
      </c>
      <c r="BN14" s="639">
        <f>IFERROR(Feed!H151*Feed!I68,0)</f>
        <v>0</v>
      </c>
      <c r="BO14" s="484">
        <f>IFERROR(Feed!I151*Feed!R68,0)</f>
        <v>0</v>
      </c>
      <c r="BP14" s="484">
        <f>IFERROR(Feed!J151*Feed!AA68,0)</f>
        <v>0</v>
      </c>
      <c r="BQ14" s="244">
        <f>VLOOKUP(INPUTS!$D$73,'Crop parameters'!$A$2:$Z$43,4,FALSE)*1000</f>
        <v>1299</v>
      </c>
      <c r="BR14" s="404">
        <f>INPUTS!$E$88</f>
        <v>0.4</v>
      </c>
      <c r="BS14" s="244">
        <f>VLOOKUP(INPUTS!$D$73,'Crop parameters'!$A$2:$Z$43,8,FALSE)*1000</f>
        <v>3582.4421538461534</v>
      </c>
      <c r="BT14" s="404">
        <f>IF(INPUTS!$E$73="Residue",INPUTS!$F$88,0)</f>
        <v>0.6</v>
      </c>
      <c r="BU14" s="404">
        <f>IFERROR(IF(INPUTS!$E$73="Main",BN14/(BQ14*BR14),BN14/(BS14*BT14)),0)</f>
        <v>0</v>
      </c>
      <c r="BV14" s="404">
        <f>IFERROR(IF(INPUTS!$E$73="Main",BO14/(BQ14*BR14),BO14/(BS14*BT14)),0)</f>
        <v>0</v>
      </c>
      <c r="BW14" s="404">
        <f>IFERROR(IF(INPUTS!$E$73="Main",BP14/(BQ14*BR14),BP14/(BS14*BT14)),0)</f>
        <v>0</v>
      </c>
      <c r="BX14" s="696">
        <f t="shared" si="8"/>
        <v>0</v>
      </c>
      <c r="BY14" s="704">
        <f t="shared" si="9"/>
        <v>0</v>
      </c>
      <c r="BZ14" s="704">
        <f t="shared" si="31"/>
        <v>0</v>
      </c>
      <c r="CA14" s="696">
        <f t="shared" si="32"/>
        <v>0</v>
      </c>
      <c r="CB14" s="696">
        <f t="shared" si="33"/>
        <v>0</v>
      </c>
      <c r="CC14" s="696">
        <f t="shared" si="34"/>
        <v>0</v>
      </c>
      <c r="CD14" s="639">
        <f>IFERROR(Feed!H151*Feed!J68,0)</f>
        <v>0</v>
      </c>
      <c r="CE14" s="484">
        <f>IFERROR(Feed!I151*Feed!S68,0)</f>
        <v>0</v>
      </c>
      <c r="CF14" s="484">
        <f>IFERROR(Feed!J151*Feed!AB68,0)</f>
        <v>0</v>
      </c>
      <c r="CG14" s="244">
        <f>VLOOKUP(INPUTS!$D$74,'Crop parameters'!$A$2:$Z$43,4,FALSE)*1000</f>
        <v>13049.999999999998</v>
      </c>
      <c r="CH14" s="404">
        <f>INPUTS!$E$89</f>
        <v>1</v>
      </c>
      <c r="CI14" s="244">
        <f>VLOOKUP(INPUTS!$D$74,'Crop parameters'!$A$2:$Z$43,8,FALSE)*1000</f>
        <v>4999.9999999999982</v>
      </c>
      <c r="CJ14" s="404">
        <f>IF(INPUTS!$E$74="Residue",INPUTS!$F$89,0)</f>
        <v>0</v>
      </c>
      <c r="CK14" s="404">
        <f>IFERROR(IF(INPUTS!$E$74="Main",CD14/(CG14*CH14),CD14/(CI14*CJ14)),0)</f>
        <v>0</v>
      </c>
      <c r="CL14" s="404">
        <f>IFERROR(IF(INPUTS!$E$74="Main",CE14/(CG14*CH14),CE14/(CI14*CJ14)),0)</f>
        <v>0</v>
      </c>
      <c r="CM14" s="404">
        <f>IFERROR(IF(INPUTS!$E$74="Main",CF14/(CG14*CH14),CF14/(CI14*CJ14)),0)</f>
        <v>0</v>
      </c>
      <c r="CN14" s="696">
        <f t="shared" si="10"/>
        <v>0</v>
      </c>
      <c r="CO14" s="704">
        <f t="shared" si="11"/>
        <v>0</v>
      </c>
      <c r="CP14" s="704">
        <f t="shared" si="35"/>
        <v>0</v>
      </c>
      <c r="CQ14" s="696">
        <f t="shared" si="36"/>
        <v>0</v>
      </c>
      <c r="CR14" s="696">
        <f t="shared" si="37"/>
        <v>0</v>
      </c>
      <c r="CS14" s="696">
        <f t="shared" si="38"/>
        <v>0</v>
      </c>
      <c r="CT14" s="639">
        <f>IFERROR(Feed!H151*Feed!K68,0)</f>
        <v>0</v>
      </c>
      <c r="CU14" s="484">
        <f>IFERROR(Feed!I151*Feed!T68,0)</f>
        <v>0</v>
      </c>
      <c r="CV14" s="484">
        <f>IFERROR(Feed!J151*Feed!AC68,0)</f>
        <v>0</v>
      </c>
      <c r="CW14" s="244">
        <f>VLOOKUP(INPUTS!$D$75,'Crop parameters'!$A$2:$Z$43,4,FALSE)*1000</f>
        <v>0</v>
      </c>
      <c r="CX14" s="404">
        <f>INPUTS!$E$90</f>
        <v>1</v>
      </c>
      <c r="CY14" s="244">
        <f>VLOOKUP(INPUTS!$D$75,'Crop parameters'!$A$2:$Z$43,8,FALSE)*1000</f>
        <v>0</v>
      </c>
      <c r="CZ14" s="404">
        <f>IF(INPUTS!$E$75="Residue",INPUTS!$F$90,0)</f>
        <v>0</v>
      </c>
      <c r="DA14" s="404">
        <f>IFERROR(IF(INPUTS!$E$75="Main",CT14/(CW14*CX14),CT14/(CY14*CZ14)),0)</f>
        <v>0</v>
      </c>
      <c r="DB14" s="404">
        <f>IFERROR(IF(INPUTS!$E$75="Main",CU14/(CW14*CX14),CU14/(CY14*CZ14)),0)</f>
        <v>0</v>
      </c>
      <c r="DC14" s="404">
        <f>IFERROR(IF(INPUTS!$E$75="Main",CV14/(CW14*CX14),CV14/(CY14*CZ14)),0)</f>
        <v>0</v>
      </c>
      <c r="DD14" s="696">
        <f t="shared" si="12"/>
        <v>0</v>
      </c>
      <c r="DE14" s="704">
        <f t="shared" si="13"/>
        <v>0</v>
      </c>
      <c r="DF14" s="704">
        <f t="shared" si="39"/>
        <v>0</v>
      </c>
      <c r="DG14" s="696">
        <f t="shared" si="40"/>
        <v>0</v>
      </c>
      <c r="DH14" s="696">
        <f t="shared" si="41"/>
        <v>0</v>
      </c>
      <c r="DI14" s="404">
        <f t="shared" si="42"/>
        <v>0</v>
      </c>
      <c r="DJ14" s="641">
        <f t="shared" si="43"/>
        <v>0</v>
      </c>
      <c r="DK14" s="641">
        <f t="shared" si="44"/>
        <v>0</v>
      </c>
      <c r="DL14" s="641">
        <f t="shared" si="45"/>
        <v>0</v>
      </c>
    </row>
    <row r="15" spans="1:116" s="962" customFormat="1">
      <c r="A15" s="474">
        <f>'Livestock parameters'!A11</f>
        <v>0</v>
      </c>
      <c r="B15" s="639">
        <f>IFERROR(Feed!H152*Feed!E75,0)</f>
        <v>0</v>
      </c>
      <c r="C15" s="639">
        <f>IFERROR(Feed!I152*Feed!N75,0)</f>
        <v>0</v>
      </c>
      <c r="D15" s="639">
        <f>IFERROR(Feed!J152*Feed!W75,0)</f>
        <v>0</v>
      </c>
      <c r="E15" s="244">
        <f>VLOOKUP(INPUTS!$D$69,'Crop parameters'!$A$2:$Z$43,4,FALSE)*1000</f>
        <v>0</v>
      </c>
      <c r="F15" s="404">
        <f>INPUTS!$E$84</f>
        <v>1</v>
      </c>
      <c r="G15" s="244">
        <f>VLOOKUP(INPUTS!$D$69,'Crop parameters'!$A$2:$Z$43,8,FALSE)*1000</f>
        <v>0</v>
      </c>
      <c r="H15" s="404">
        <f>IF(INPUTS!$E$69="Residue",INPUTS!$F$84,0)</f>
        <v>0</v>
      </c>
      <c r="I15" s="404">
        <f>IFERROR(IF(INPUTS!$E$69="Main",B15/(E15*F15),B15/(G15*H15)),0)</f>
        <v>0</v>
      </c>
      <c r="J15" s="404">
        <f>IFERROR(IF(INPUTS!$E$69="Main",C15/(E15*F15),C15/(G15*H15)),0)</f>
        <v>0</v>
      </c>
      <c r="K15" s="404">
        <f>IFERROR(IF(INPUTS!$E$69="Main",D15/(E15*F15),D15/(G15*H15)),0)</f>
        <v>0</v>
      </c>
      <c r="L15" s="696">
        <f t="shared" ref="L15:L16" si="46">IF(H15&gt;0,I15*(E15*F15/(E15*F15+G15*H15)),0)</f>
        <v>0</v>
      </c>
      <c r="M15" s="704">
        <f t="shared" ref="M15:M16" si="47">IF(H15&gt;0,J15*(E15*F15/(E15*F15+G15*H15)),0)</f>
        <v>0</v>
      </c>
      <c r="N15" s="704">
        <f t="shared" si="15"/>
        <v>0</v>
      </c>
      <c r="O15" s="696">
        <f t="shared" ref="O15:O16" si="48">IFERROR(IF(H15&gt;0,I15*(G15*H15/(E15*F15+G15*H15)),I15*(E15*F15+G15*H15)/(E15*F15+G15*H15)),0)</f>
        <v>0</v>
      </c>
      <c r="P15" s="696">
        <f t="shared" si="17"/>
        <v>0</v>
      </c>
      <c r="Q15" s="696">
        <f t="shared" si="18"/>
        <v>0</v>
      </c>
      <c r="R15" s="639">
        <f>IFERROR(Feed!H152*Feed!F69,0)</f>
        <v>0</v>
      </c>
      <c r="S15" s="484">
        <f>IFERROR(Feed!I152*Feed!O69,0)</f>
        <v>0</v>
      </c>
      <c r="T15" s="639">
        <f>IFERROR(Feed!Z152*Feed!X75,0)</f>
        <v>0</v>
      </c>
      <c r="U15" s="244">
        <f>VLOOKUP(INPUTS!$D$70,'Crop parameters'!$A$2:$Z$43,4,FALSE)*1000</f>
        <v>22050</v>
      </c>
      <c r="V15" s="404">
        <f>INPUTS!$E$85</f>
        <v>1</v>
      </c>
      <c r="W15" s="244">
        <f>VLOOKUP(INPUTS!$D$70,'Crop parameters'!$A$2:$Z$43,8,FALSE)*1000</f>
        <v>11666.666666666662</v>
      </c>
      <c r="X15" s="404">
        <f>IF(INPUTS!$E$70="Residue",INPUTS!$F$85,0)</f>
        <v>0</v>
      </c>
      <c r="Y15" s="404">
        <f>IFERROR(IF(INPUTS!$E$70="Main",R15/(U15*V15),R15/(W15*X15)),0)</f>
        <v>0</v>
      </c>
      <c r="Z15" s="404">
        <f>IFERROR(IF(INPUTS!$E$70="Main",S15/(U15*V15),S15/(W15*X15)),0)</f>
        <v>0</v>
      </c>
      <c r="AA15" s="404">
        <f>IFERROR(IF(INPUTS!$E$70="Main",T15/(U15*V15),T15/(W15*X15)),0)</f>
        <v>0</v>
      </c>
      <c r="AB15" s="696">
        <f t="shared" si="2"/>
        <v>0</v>
      </c>
      <c r="AC15" s="704">
        <f t="shared" si="3"/>
        <v>0</v>
      </c>
      <c r="AD15" s="704">
        <f t="shared" si="19"/>
        <v>0</v>
      </c>
      <c r="AE15" s="696">
        <f t="shared" si="20"/>
        <v>0</v>
      </c>
      <c r="AF15" s="696">
        <f t="shared" si="21"/>
        <v>0</v>
      </c>
      <c r="AG15" s="696">
        <f t="shared" si="22"/>
        <v>0</v>
      </c>
      <c r="AH15" s="639">
        <f>IFERROR(Feed!H152*Feed!G75,0)</f>
        <v>0</v>
      </c>
      <c r="AI15" s="639">
        <f>IFERROR(Feed!I152*Feed!P75,0)</f>
        <v>0</v>
      </c>
      <c r="AJ15" s="639">
        <f>IFERROR(Feed!J152*Feed!Y75,0)</f>
        <v>0</v>
      </c>
      <c r="AK15" s="244">
        <f>VLOOKUP(INPUTS!$D$71,'Crop parameters'!$A$2:$Z$43,4,FALSE)*1000</f>
        <v>13500</v>
      </c>
      <c r="AL15" s="404">
        <f>INPUTS!$E$86</f>
        <v>1</v>
      </c>
      <c r="AM15" s="244">
        <f>VLOOKUP(INPUTS!$D$71,'Crop parameters'!$A$2:$Z$43,8,FALSE)*1000</f>
        <v>5999.9999999999982</v>
      </c>
      <c r="AN15" s="404">
        <f>IF(INPUTS!$E$71="Residue",INPUTS!$F$86,0)</f>
        <v>0</v>
      </c>
      <c r="AO15" s="404">
        <f>IFERROR(IF(INPUTS!$E$71="Main",AH15/(AK15*AL15),AH15/(AM15*AN15)),0)</f>
        <v>0</v>
      </c>
      <c r="AP15" s="404">
        <f>IFERROR(IF(INPUTS!$E$71="Main",AI15/(AK15*AL15),AI15/(AM15*AN15)),0)</f>
        <v>0</v>
      </c>
      <c r="AQ15" s="404">
        <f>IFERROR(IF(INPUTS!$E$71="Main",AJ15/(AK15*AL15),AJ15/(AM15*AN15)),0)</f>
        <v>0</v>
      </c>
      <c r="AR15" s="696">
        <f t="shared" si="4"/>
        <v>0</v>
      </c>
      <c r="AS15" s="704">
        <f t="shared" si="5"/>
        <v>0</v>
      </c>
      <c r="AT15" s="704">
        <f t="shared" si="23"/>
        <v>0</v>
      </c>
      <c r="AU15" s="696">
        <f t="shared" si="24"/>
        <v>0</v>
      </c>
      <c r="AV15" s="696">
        <f t="shared" si="25"/>
        <v>0</v>
      </c>
      <c r="AW15" s="696">
        <f t="shared" si="26"/>
        <v>0</v>
      </c>
      <c r="AX15" s="698">
        <f>IFERROR(Feed!H152*Feed!H75,0)</f>
        <v>0</v>
      </c>
      <c r="AY15" s="698">
        <f>IFERROR(Feed!I152*Feed!Q75,0)</f>
        <v>0</v>
      </c>
      <c r="AZ15" s="698">
        <f>IFERROR(Feed!J152*Feed!Z75,0)</f>
        <v>0</v>
      </c>
      <c r="BA15" s="244">
        <f>VLOOKUP(INPUTS!$D$72,'Crop parameters'!$A$2:$Z$43,4,FALSE)*1000</f>
        <v>19800</v>
      </c>
      <c r="BB15" s="404">
        <f>INPUTS!$E$87</f>
        <v>1</v>
      </c>
      <c r="BC15" s="244">
        <f>VLOOKUP(INPUTS!$D$72,'Crop parameters'!$A$2:$Z$43,8,FALSE)*1000</f>
        <v>9999.9999999999964</v>
      </c>
      <c r="BD15" s="404">
        <f>IF(INPUTS!$E$72="Residue",INPUTS!$F$87,0)</f>
        <v>0</v>
      </c>
      <c r="BE15" s="404">
        <f>IFERROR(IF(INPUTS!$E$72="Main",AX15/(BA15*BB15),AX15/(BC15*BD15)),0)</f>
        <v>0</v>
      </c>
      <c r="BF15" s="404">
        <f>IFERROR(IF(INPUTS!$E$72="Main",AY15/(BA15*BB15),AY15/(BC15*BD15)),0)</f>
        <v>0</v>
      </c>
      <c r="BG15" s="404">
        <f>IFERROR(IF(INPUTS!$E$72="Main",AZ15/(BA15*BB15),AZ15/(BC15*BD15)),0)</f>
        <v>0</v>
      </c>
      <c r="BH15" s="696">
        <f t="shared" si="6"/>
        <v>0</v>
      </c>
      <c r="BI15" s="704">
        <f t="shared" si="7"/>
        <v>0</v>
      </c>
      <c r="BJ15" s="704">
        <f t="shared" si="27"/>
        <v>0</v>
      </c>
      <c r="BK15" s="696">
        <f t="shared" si="28"/>
        <v>0</v>
      </c>
      <c r="BL15" s="696">
        <f t="shared" si="29"/>
        <v>0</v>
      </c>
      <c r="BM15" s="696">
        <f t="shared" si="30"/>
        <v>0</v>
      </c>
      <c r="BN15" s="639">
        <f>IFERROR(Feed!H152*Feed!I75,0)</f>
        <v>0</v>
      </c>
      <c r="BO15" s="639">
        <f>IFERROR(Feed!I152*Feed!R75,0)</f>
        <v>0</v>
      </c>
      <c r="BP15" s="639">
        <f>IFERROR(Feed!J152*Feed!AA75,0)</f>
        <v>0</v>
      </c>
      <c r="BQ15" s="244">
        <f>VLOOKUP(INPUTS!$D$73,'Crop parameters'!$A$2:$Z$43,4,FALSE)*1000</f>
        <v>1299</v>
      </c>
      <c r="BR15" s="404">
        <f>INPUTS!$E$88</f>
        <v>0.4</v>
      </c>
      <c r="BS15" s="244">
        <f>VLOOKUP(INPUTS!$D$73,'Crop parameters'!$A$2:$Z$43,8,FALSE)*1000</f>
        <v>3582.4421538461534</v>
      </c>
      <c r="BT15" s="404">
        <f>IF(INPUTS!$E$73="Residue",INPUTS!$F$88,0)</f>
        <v>0.6</v>
      </c>
      <c r="BU15" s="404">
        <f>IFERROR(IF(INPUTS!$E$73="Main",BN15/(BQ15*BR15),BN15/(BS15*BT15)),0)</f>
        <v>0</v>
      </c>
      <c r="BV15" s="404">
        <f>IFERROR(IF(INPUTS!$E$73="Main",BO15/(BQ15*BR15),BO15/(BS15*BT15)),0)</f>
        <v>0</v>
      </c>
      <c r="BW15" s="404">
        <f>IFERROR(IF(INPUTS!$E$73="Main",BP15/(BQ15*BR15),BP15/(BS15*BT15)),0)</f>
        <v>0</v>
      </c>
      <c r="BX15" s="696">
        <f t="shared" si="8"/>
        <v>0</v>
      </c>
      <c r="BY15" s="704">
        <f t="shared" si="9"/>
        <v>0</v>
      </c>
      <c r="BZ15" s="704">
        <f t="shared" si="31"/>
        <v>0</v>
      </c>
      <c r="CA15" s="696">
        <f t="shared" si="32"/>
        <v>0</v>
      </c>
      <c r="CB15" s="696">
        <f t="shared" si="33"/>
        <v>0</v>
      </c>
      <c r="CC15" s="696">
        <f t="shared" si="34"/>
        <v>0</v>
      </c>
      <c r="CD15" s="639">
        <f>IFERROR(Feed!H152*Feed!J75,0)</f>
        <v>0</v>
      </c>
      <c r="CE15" s="639">
        <f>IFERROR(Feed!I152*Feed!S75,0)</f>
        <v>0</v>
      </c>
      <c r="CF15" s="639">
        <f>IFERROR(Feed!J152*Feed!AB75,0)</f>
        <v>0</v>
      </c>
      <c r="CG15" s="244">
        <f>VLOOKUP(INPUTS!$D$74,'Crop parameters'!$A$2:$Z$43,4,FALSE)*1000</f>
        <v>13049.999999999998</v>
      </c>
      <c r="CH15" s="404">
        <f>INPUTS!$E$89</f>
        <v>1</v>
      </c>
      <c r="CI15" s="244">
        <f>VLOOKUP(INPUTS!$D$74,'Crop parameters'!$A$2:$Z$43,8,FALSE)*1000</f>
        <v>4999.9999999999982</v>
      </c>
      <c r="CJ15" s="404">
        <f>IF(INPUTS!$E$74="Residue",INPUTS!$F$89,0)</f>
        <v>0</v>
      </c>
      <c r="CK15" s="404">
        <f>IFERROR(IF(INPUTS!$E$74="Main",CD15/(CG15*CH15),CD15/(CI15*CJ15)),0)</f>
        <v>0</v>
      </c>
      <c r="CL15" s="404">
        <f>IFERROR(IF(INPUTS!$E$74="Main",CE15/(CG15*CH15),CE15/(CI15*CJ15)),0)</f>
        <v>0</v>
      </c>
      <c r="CM15" s="404">
        <f>IFERROR(IF(INPUTS!$E$74="Main",CF15/(CG15*CH15),CF15/(CI15*CJ15)),0)</f>
        <v>0</v>
      </c>
      <c r="CN15" s="696">
        <f t="shared" si="10"/>
        <v>0</v>
      </c>
      <c r="CO15" s="704">
        <f t="shared" si="11"/>
        <v>0</v>
      </c>
      <c r="CP15" s="704">
        <f t="shared" si="35"/>
        <v>0</v>
      </c>
      <c r="CQ15" s="696">
        <f t="shared" si="36"/>
        <v>0</v>
      </c>
      <c r="CR15" s="696">
        <f t="shared" si="37"/>
        <v>0</v>
      </c>
      <c r="CS15" s="696">
        <f t="shared" si="38"/>
        <v>0</v>
      </c>
      <c r="CT15" s="639">
        <f>IFERROR(Feed!H152*Feed!K75,0)</f>
        <v>0</v>
      </c>
      <c r="CU15" s="639">
        <f>IFERROR(Feed!I152*Feed!T75,0)</f>
        <v>0</v>
      </c>
      <c r="CV15" s="639">
        <f>IFERROR(Feed!J152*Feed!AC75,0)</f>
        <v>0</v>
      </c>
      <c r="CW15" s="244">
        <f>VLOOKUP(INPUTS!$D$75,'Crop parameters'!$A$2:$Z$43,4,FALSE)*1000</f>
        <v>0</v>
      </c>
      <c r="CX15" s="404">
        <f>INPUTS!$E$90</f>
        <v>1</v>
      </c>
      <c r="CY15" s="244">
        <f>VLOOKUP(INPUTS!$D$75,'Crop parameters'!$A$2:$Z$43,8,FALSE)*1000</f>
        <v>0</v>
      </c>
      <c r="CZ15" s="404">
        <f>IF(INPUTS!$E$75="Residue",INPUTS!$F$90,0)</f>
        <v>0</v>
      </c>
      <c r="DA15" s="404">
        <f>IFERROR(IF(INPUTS!$E$75="Main",CT15/(CW15*CX15),CT15/(CY15*CZ15)),0)</f>
        <v>0</v>
      </c>
      <c r="DB15" s="404">
        <f>IFERROR(IF(INPUTS!$E$75="Main",CU15/(CW15*CX15),CU15/(CY15*CZ15)),0)</f>
        <v>0</v>
      </c>
      <c r="DC15" s="404">
        <f>IFERROR(IF(INPUTS!$E$75="Main",CV15/(CW15*CX15),CV15/(CY15*CZ15)),0)</f>
        <v>0</v>
      </c>
      <c r="DD15" s="696">
        <f t="shared" si="12"/>
        <v>0</v>
      </c>
      <c r="DE15" s="704">
        <f t="shared" si="13"/>
        <v>0</v>
      </c>
      <c r="DF15" s="704">
        <f t="shared" si="39"/>
        <v>0</v>
      </c>
      <c r="DG15" s="696">
        <f t="shared" si="40"/>
        <v>0</v>
      </c>
      <c r="DH15" s="696">
        <f t="shared" si="41"/>
        <v>0</v>
      </c>
      <c r="DI15" s="404">
        <f t="shared" si="42"/>
        <v>0</v>
      </c>
      <c r="DJ15" s="641">
        <f t="shared" si="43"/>
        <v>0</v>
      </c>
      <c r="DK15" s="641">
        <f t="shared" si="44"/>
        <v>0</v>
      </c>
      <c r="DL15" s="641">
        <f t="shared" si="45"/>
        <v>0</v>
      </c>
    </row>
    <row r="16" spans="1:116" s="962" customFormat="1">
      <c r="A16" s="474">
        <f>'Livestock parameters'!A12</f>
        <v>0</v>
      </c>
      <c r="B16" s="639">
        <f>IFERROR(Feed!H153*Feed!E82,0)</f>
        <v>0</v>
      </c>
      <c r="C16" s="639">
        <f>IFERROR(Feed!I153*Feed!N82,0)</f>
        <v>0</v>
      </c>
      <c r="D16" s="639">
        <f>IFERROR(Feed!J153*Feed!W82,0)</f>
        <v>0</v>
      </c>
      <c r="E16" s="244">
        <f>VLOOKUP(INPUTS!$D$69,'Crop parameters'!$A$2:$Z$43,4,FALSE)*1000</f>
        <v>0</v>
      </c>
      <c r="F16" s="404">
        <f>INPUTS!$E$84</f>
        <v>1</v>
      </c>
      <c r="G16" s="244">
        <f>VLOOKUP(INPUTS!$D$69,'Crop parameters'!$A$2:$Z$43,8,FALSE)*1000</f>
        <v>0</v>
      </c>
      <c r="H16" s="404">
        <f>IF(INPUTS!$E$69="Residue",INPUTS!$F$84,0)</f>
        <v>0</v>
      </c>
      <c r="I16" s="404">
        <f>IFERROR(IF(INPUTS!$E$69="Main",B16/(E16*F16),B16/(G16*H16)),0)</f>
        <v>0</v>
      </c>
      <c r="J16" s="404">
        <f>IFERROR(IF(INPUTS!$E$69="Main",C16/(E16*F16),C16/(G16*H16)),0)</f>
        <v>0</v>
      </c>
      <c r="K16" s="404">
        <f>IFERROR(IF(INPUTS!$E$69="Main",D16/(E16*F16),D16/(G16*H16)),0)</f>
        <v>0</v>
      </c>
      <c r="L16" s="696">
        <f t="shared" si="46"/>
        <v>0</v>
      </c>
      <c r="M16" s="704">
        <f t="shared" si="47"/>
        <v>0</v>
      </c>
      <c r="N16" s="704">
        <f t="shared" si="15"/>
        <v>0</v>
      </c>
      <c r="O16" s="696">
        <f t="shared" si="48"/>
        <v>0</v>
      </c>
      <c r="P16" s="696">
        <f t="shared" si="17"/>
        <v>0</v>
      </c>
      <c r="Q16" s="696">
        <f t="shared" si="18"/>
        <v>0</v>
      </c>
      <c r="R16" s="639">
        <f>IFERROR(Feed!H153*Feed!F70,0)</f>
        <v>0</v>
      </c>
      <c r="S16" s="484">
        <f>IFERROR(Feed!I153*Feed!O70,0)</f>
        <v>0</v>
      </c>
      <c r="T16" s="639">
        <f>IFERROR(Feed!Z153*Feed!X82,0)</f>
        <v>0</v>
      </c>
      <c r="U16" s="244">
        <f>VLOOKUP(INPUTS!$D$70,'Crop parameters'!$A$2:$Z$43,4,FALSE)*1000</f>
        <v>22050</v>
      </c>
      <c r="V16" s="404">
        <f>INPUTS!$E$85</f>
        <v>1</v>
      </c>
      <c r="W16" s="244">
        <f>VLOOKUP(INPUTS!$D$70,'Crop parameters'!$A$2:$Z$43,8,FALSE)*1000</f>
        <v>11666.666666666662</v>
      </c>
      <c r="X16" s="404">
        <f>IF(INPUTS!$E$70="Residue",INPUTS!$F$85,0)</f>
        <v>0</v>
      </c>
      <c r="Y16" s="404">
        <f>IFERROR(IF(INPUTS!$E$70="Main",R16/(U16*V16),R16/(W16*X16)),0)</f>
        <v>0</v>
      </c>
      <c r="Z16" s="404">
        <f>IFERROR(IF(INPUTS!$E$70="Main",S16/(U16*V16),S16/(W16*X16)),0)</f>
        <v>0</v>
      </c>
      <c r="AA16" s="404">
        <f>IFERROR(IF(INPUTS!$E$70="Main",T16/(U16*V16),T16/(W16*X16)),0)</f>
        <v>0</v>
      </c>
      <c r="AB16" s="696">
        <f t="shared" si="2"/>
        <v>0</v>
      </c>
      <c r="AC16" s="704">
        <f t="shared" si="3"/>
        <v>0</v>
      </c>
      <c r="AD16" s="704">
        <f t="shared" si="19"/>
        <v>0</v>
      </c>
      <c r="AE16" s="696">
        <f t="shared" si="20"/>
        <v>0</v>
      </c>
      <c r="AF16" s="696">
        <f t="shared" si="21"/>
        <v>0</v>
      </c>
      <c r="AG16" s="696">
        <f t="shared" si="22"/>
        <v>0</v>
      </c>
      <c r="AH16" s="639">
        <f>IFERROR(Feed!H153*Feed!G82,0)</f>
        <v>0</v>
      </c>
      <c r="AI16" s="639">
        <f>IFERROR(Feed!I153*Feed!H82,0)</f>
        <v>0</v>
      </c>
      <c r="AJ16" s="639">
        <f>IFERROR(Feed!J153*Feed!Y82,0)</f>
        <v>0</v>
      </c>
      <c r="AK16" s="244">
        <f>VLOOKUP(INPUTS!$D$71,'Crop parameters'!$A$2:$Z$43,4,FALSE)*1000</f>
        <v>13500</v>
      </c>
      <c r="AL16" s="404">
        <f>INPUTS!$E$86</f>
        <v>1</v>
      </c>
      <c r="AM16" s="244">
        <f>VLOOKUP(INPUTS!$D$71,'Crop parameters'!$A$2:$Z$43,8,FALSE)*1000</f>
        <v>5999.9999999999982</v>
      </c>
      <c r="AN16" s="404">
        <f>IF(INPUTS!$E$71="Residue",INPUTS!$F$86,0)</f>
        <v>0</v>
      </c>
      <c r="AO16" s="404">
        <f>IFERROR(IF(INPUTS!$E$71="Main",AH16/(AK16*AL16),AH16/(AM16*AN16)),0)</f>
        <v>0</v>
      </c>
      <c r="AP16" s="404">
        <f>IFERROR(IF(INPUTS!$E$71="Main",AI16/(AK16*AL16),AI16/(AM16*AN16)),0)</f>
        <v>0</v>
      </c>
      <c r="AQ16" s="404">
        <f>IFERROR(IF(INPUTS!$E$71="Main",AJ16/(AK16*AL16),AJ16/(AM16*AN16)),0)</f>
        <v>0</v>
      </c>
      <c r="AR16" s="696">
        <f t="shared" si="4"/>
        <v>0</v>
      </c>
      <c r="AS16" s="704">
        <f t="shared" si="5"/>
        <v>0</v>
      </c>
      <c r="AT16" s="704">
        <f t="shared" si="23"/>
        <v>0</v>
      </c>
      <c r="AU16" s="696">
        <f t="shared" si="24"/>
        <v>0</v>
      </c>
      <c r="AV16" s="696">
        <f t="shared" si="25"/>
        <v>0</v>
      </c>
      <c r="AW16" s="696">
        <f t="shared" si="26"/>
        <v>0</v>
      </c>
      <c r="AX16" s="698">
        <f>IFERROR(Feed!H153*Feed!H82,0)</f>
        <v>0</v>
      </c>
      <c r="AY16" s="698">
        <f>IFERROR(Feed!I153*Feed!Q82,0)</f>
        <v>0</v>
      </c>
      <c r="AZ16" s="698">
        <f>IFERROR(Feed!J153*Feed!Z82,0)</f>
        <v>0</v>
      </c>
      <c r="BA16" s="244">
        <f>VLOOKUP(INPUTS!$D$72,'Crop parameters'!$A$2:$Z$43,4,FALSE)*1000</f>
        <v>19800</v>
      </c>
      <c r="BB16" s="404">
        <f>INPUTS!$E$87</f>
        <v>1</v>
      </c>
      <c r="BC16" s="244">
        <f>VLOOKUP(INPUTS!$D$72,'Crop parameters'!$A$2:$Z$43,8,FALSE)*1000</f>
        <v>9999.9999999999964</v>
      </c>
      <c r="BD16" s="404">
        <f>IF(INPUTS!$E$72="Residue",INPUTS!$F$87,0)</f>
        <v>0</v>
      </c>
      <c r="BE16" s="404">
        <f>IFERROR(IF(INPUTS!$E$72="Main",AX16/(BA16*BB16),AX16/(BC16*BD16)),0)</f>
        <v>0</v>
      </c>
      <c r="BF16" s="404">
        <f>IFERROR(IF(INPUTS!$E$72="Main",AY16/(BA16*BB16),AY16/(BC16*BD16)),0)</f>
        <v>0</v>
      </c>
      <c r="BG16" s="404">
        <f>IFERROR(IF(INPUTS!$E$72="Main",AZ16/(BA16*BB16),AZ16/(BC16*BD16)),0)</f>
        <v>0</v>
      </c>
      <c r="BH16" s="696">
        <f t="shared" si="6"/>
        <v>0</v>
      </c>
      <c r="BI16" s="704">
        <f t="shared" si="7"/>
        <v>0</v>
      </c>
      <c r="BJ16" s="704">
        <f t="shared" si="27"/>
        <v>0</v>
      </c>
      <c r="BK16" s="696">
        <f t="shared" si="28"/>
        <v>0</v>
      </c>
      <c r="BL16" s="696">
        <f t="shared" si="29"/>
        <v>0</v>
      </c>
      <c r="BM16" s="696">
        <f t="shared" si="30"/>
        <v>0</v>
      </c>
      <c r="BN16" s="639">
        <f>IFERROR(Feed!H153*Feed!I82,0)</f>
        <v>0</v>
      </c>
      <c r="BO16" s="639">
        <f>IFERROR(Feed!I153*Feed!R82,0)</f>
        <v>0</v>
      </c>
      <c r="BP16" s="639">
        <f>IFERROR(Feed!J153*Feed!AA82,0)</f>
        <v>0</v>
      </c>
      <c r="BQ16" s="244">
        <f>VLOOKUP(INPUTS!$D$73,'Crop parameters'!$A$2:$Z$43,4,FALSE)*1000</f>
        <v>1299</v>
      </c>
      <c r="BR16" s="404">
        <f>INPUTS!$E$88</f>
        <v>0.4</v>
      </c>
      <c r="BS16" s="244">
        <f>VLOOKUP(INPUTS!$D$73,'Crop parameters'!$A$2:$Z$43,8,FALSE)*1000</f>
        <v>3582.4421538461534</v>
      </c>
      <c r="BT16" s="404">
        <f>IF(INPUTS!$E$73="Residue",INPUTS!$F$88,0)</f>
        <v>0.6</v>
      </c>
      <c r="BU16" s="404">
        <f>IFERROR(IF(INPUTS!$E$73="Main",BN16/(BQ16*BR16),BN16/(BS16*BT16)),0)</f>
        <v>0</v>
      </c>
      <c r="BV16" s="404">
        <f>IFERROR(IF(INPUTS!$E$73="Main",BO16/(BQ16*BR16),BO16/(BS16*BT16)),0)</f>
        <v>0</v>
      </c>
      <c r="BW16" s="404">
        <f>IFERROR(IF(INPUTS!$E$73="Main",BP16/(BQ16*BR16),BP16/(BS16*BT16)),0)</f>
        <v>0</v>
      </c>
      <c r="BX16" s="696">
        <f t="shared" si="8"/>
        <v>0</v>
      </c>
      <c r="BY16" s="704">
        <f t="shared" si="9"/>
        <v>0</v>
      </c>
      <c r="BZ16" s="704">
        <f t="shared" si="31"/>
        <v>0</v>
      </c>
      <c r="CA16" s="696">
        <f t="shared" si="32"/>
        <v>0</v>
      </c>
      <c r="CB16" s="696">
        <f t="shared" si="33"/>
        <v>0</v>
      </c>
      <c r="CC16" s="696">
        <f t="shared" si="34"/>
        <v>0</v>
      </c>
      <c r="CD16" s="639">
        <f>IFERROR(Feed!H153*Feed!J82,0)</f>
        <v>0</v>
      </c>
      <c r="CE16" s="639">
        <f>IFERROR(Feed!I153*Feed!S82,0)</f>
        <v>0</v>
      </c>
      <c r="CF16" s="639">
        <f>IFERROR(Feed!J153*Feed!AB82,0)</f>
        <v>0</v>
      </c>
      <c r="CG16" s="244">
        <f>VLOOKUP(INPUTS!$D$74,'Crop parameters'!$A$2:$Z$43,4,FALSE)*1000</f>
        <v>13049.999999999998</v>
      </c>
      <c r="CH16" s="404">
        <f>INPUTS!$E$89</f>
        <v>1</v>
      </c>
      <c r="CI16" s="244">
        <f>VLOOKUP(INPUTS!$D$74,'Crop parameters'!$A$2:$Z$43,8,FALSE)*1000</f>
        <v>4999.9999999999982</v>
      </c>
      <c r="CJ16" s="404">
        <f>IF(INPUTS!$E$74="Residue",INPUTS!$F$89,0)</f>
        <v>0</v>
      </c>
      <c r="CK16" s="404">
        <f>IFERROR(IF(INPUTS!$E$74="Main",CD16/(CG16*CH16),CD16/(CI16*CJ16)),0)</f>
        <v>0</v>
      </c>
      <c r="CL16" s="404">
        <f>IFERROR(IF(INPUTS!$E$74="Main",CE16/(CG16*CH16),CE16/(CI16*CJ16)),0)</f>
        <v>0</v>
      </c>
      <c r="CM16" s="404">
        <f>IFERROR(IF(INPUTS!$E$74="Main",CF16/(CG16*CH16),CF16/(CI16*CJ16)),0)</f>
        <v>0</v>
      </c>
      <c r="CN16" s="696">
        <f t="shared" si="10"/>
        <v>0</v>
      </c>
      <c r="CO16" s="704">
        <f t="shared" si="11"/>
        <v>0</v>
      </c>
      <c r="CP16" s="704">
        <f t="shared" si="35"/>
        <v>0</v>
      </c>
      <c r="CQ16" s="696">
        <f t="shared" si="36"/>
        <v>0</v>
      </c>
      <c r="CR16" s="696">
        <f t="shared" si="37"/>
        <v>0</v>
      </c>
      <c r="CS16" s="696">
        <f t="shared" si="38"/>
        <v>0</v>
      </c>
      <c r="CT16" s="639">
        <f>IFERROR(Feed!H153*Feed!K82,0)</f>
        <v>0</v>
      </c>
      <c r="CU16" s="639">
        <f>IFERROR(Feed!I153*Feed!T82,0)</f>
        <v>0</v>
      </c>
      <c r="CV16" s="639">
        <f>IFERROR(Feed!J153*Feed!AC82,0)</f>
        <v>0</v>
      </c>
      <c r="CW16" s="244">
        <f>VLOOKUP(INPUTS!$D$75,'Crop parameters'!$A$2:$Z$43,4,FALSE)*1000</f>
        <v>0</v>
      </c>
      <c r="CX16" s="404">
        <f>INPUTS!$E$90</f>
        <v>1</v>
      </c>
      <c r="CY16" s="244">
        <f>VLOOKUP(INPUTS!$D$75,'Crop parameters'!$A$2:$Z$43,8,FALSE)*1000</f>
        <v>0</v>
      </c>
      <c r="CZ16" s="404">
        <f>IF(INPUTS!$E$75="Residue",INPUTS!$F$90,0)</f>
        <v>0</v>
      </c>
      <c r="DA16" s="404">
        <f>IFERROR(IF(INPUTS!$E$75="Main",CT16/(CW16*CX16),CT16/(CY16*CZ16)),0)</f>
        <v>0</v>
      </c>
      <c r="DB16" s="404">
        <f>IFERROR(IF(INPUTS!$E$75="Main",CU16/(CW16*CX16),CU16/(CY16*CZ16)),0)</f>
        <v>0</v>
      </c>
      <c r="DC16" s="404">
        <f>IFERROR(IF(INPUTS!$E$75="Main",CV16/(CW16*CX16),CV16/(CY16*CZ16)),0)</f>
        <v>0</v>
      </c>
      <c r="DD16" s="696">
        <f t="shared" si="12"/>
        <v>0</v>
      </c>
      <c r="DE16" s="704">
        <f t="shared" si="13"/>
        <v>0</v>
      </c>
      <c r="DF16" s="704">
        <f t="shared" si="39"/>
        <v>0</v>
      </c>
      <c r="DG16" s="696">
        <f t="shared" si="40"/>
        <v>0</v>
      </c>
      <c r="DH16" s="696">
        <f t="shared" si="41"/>
        <v>0</v>
      </c>
      <c r="DI16" s="404">
        <f t="shared" si="42"/>
        <v>0</v>
      </c>
      <c r="DJ16" s="641">
        <f t="shared" si="43"/>
        <v>0</v>
      </c>
      <c r="DK16" s="641">
        <f t="shared" si="44"/>
        <v>0</v>
      </c>
      <c r="DL16" s="641">
        <f t="shared" si="45"/>
        <v>0</v>
      </c>
    </row>
    <row r="17" spans="1:119" s="910" customFormat="1">
      <c r="A17" s="474">
        <f>'Livestock parameters'!A13</f>
        <v>0</v>
      </c>
      <c r="B17" s="698">
        <f>IFERROR(Feed!H154*Feed!E89,0)</f>
        <v>0</v>
      </c>
      <c r="C17" s="914">
        <f>IFERROR(Feed!I154*Feed!N89,0)</f>
        <v>0</v>
      </c>
      <c r="D17" s="914">
        <f>IFERROR(Feed!J154*Feed!W89,0)</f>
        <v>0</v>
      </c>
      <c r="E17" s="244">
        <f>VLOOKUP(INPUTS!$D$69,'Crop parameters'!$A$2:$Z$43,4,FALSE)*1000</f>
        <v>0</v>
      </c>
      <c r="F17" s="404">
        <f>INPUTS!$E$84</f>
        <v>1</v>
      </c>
      <c r="G17" s="244">
        <f>VLOOKUP(INPUTS!$D$69,'Crop parameters'!$A$2:$Z$43,8,FALSE)*1000</f>
        <v>0</v>
      </c>
      <c r="H17" s="404">
        <f>IF(INPUTS!$E$69="Residue",INPUTS!$F$84,0)</f>
        <v>0</v>
      </c>
      <c r="I17" s="404">
        <f>IFERROR(IF(INPUTS!$E$69="Main",B17/(E17*F17),B17/(G17*H17)),0)</f>
        <v>0</v>
      </c>
      <c r="J17" s="404">
        <f>IFERROR(IF(INPUTS!$E$69="Main",C17/(E17*F17),C17/(G17*H17)),0)</f>
        <v>0</v>
      </c>
      <c r="K17" s="404">
        <f>IFERROR(IF(INPUTS!$E$69="Main",D17/(E17*F17),D17/(G17*H17)),0)</f>
        <v>0</v>
      </c>
      <c r="L17" s="696">
        <f t="shared" ref="L17:L18" si="49">IF(H17&gt;0,I17*(E17*F17/(E17*F17+G17*H17)),0)</f>
        <v>0</v>
      </c>
      <c r="M17" s="704">
        <f t="shared" ref="M17:M18" si="50">IF(H17&gt;0,J17*(E17*F17/(E17*F17+G17*H17)),0)</f>
        <v>0</v>
      </c>
      <c r="N17" s="704">
        <f t="shared" si="15"/>
        <v>0</v>
      </c>
      <c r="O17" s="696">
        <f t="shared" ref="O17:O18" si="51">IFERROR(IF(H17&gt;0,I17*(G17*H17/(E17*F17+G17*H17)),I17*(E17*F17+G17*H17)/(E17*F17+G17*H17)),0)</f>
        <v>0</v>
      </c>
      <c r="P17" s="696">
        <f t="shared" si="17"/>
        <v>0</v>
      </c>
      <c r="Q17" s="696">
        <f t="shared" si="18"/>
        <v>0</v>
      </c>
      <c r="R17" s="639">
        <f>IFERROR(Feed!H154*Feed!F89,0)</f>
        <v>0</v>
      </c>
      <c r="S17" s="484">
        <f>IFERROR(Feed!I154*Feed!O89,0)</f>
        <v>0</v>
      </c>
      <c r="T17" s="914">
        <f>IFERROR(Feed!Z154*Feed!X89,0)</f>
        <v>0</v>
      </c>
      <c r="U17" s="244">
        <f>VLOOKUP(INPUTS!$D$70,'Crop parameters'!$A$2:$Z$43,4,FALSE)*1000</f>
        <v>22050</v>
      </c>
      <c r="V17" s="404">
        <f>INPUTS!$E$85</f>
        <v>1</v>
      </c>
      <c r="W17" s="244">
        <f>VLOOKUP(INPUTS!$D$70,'Crop parameters'!$A$2:$Z$43,8,FALSE)*1000</f>
        <v>11666.666666666662</v>
      </c>
      <c r="X17" s="404">
        <f>IF(INPUTS!$E$70="Residue",INPUTS!$F$85,0)</f>
        <v>0</v>
      </c>
      <c r="Y17" s="404">
        <f>IFERROR(IF(INPUTS!$E$70="Main",R17/(U17*V17),R17/(W17*X17)),0)</f>
        <v>0</v>
      </c>
      <c r="Z17" s="404">
        <f>IFERROR(IF(INPUTS!$E$70="Main",S17/(U17*V17),S17/(W17*X17)),0)</f>
        <v>0</v>
      </c>
      <c r="AA17" s="404">
        <f>IFERROR(IF(INPUTS!$E$70="Main",T17/(U17*V17),T17/(W17*X17)),0)</f>
        <v>0</v>
      </c>
      <c r="AB17" s="696">
        <f t="shared" si="2"/>
        <v>0</v>
      </c>
      <c r="AC17" s="704">
        <f t="shared" si="3"/>
        <v>0</v>
      </c>
      <c r="AD17" s="704">
        <f t="shared" si="19"/>
        <v>0</v>
      </c>
      <c r="AE17" s="696">
        <f t="shared" si="20"/>
        <v>0</v>
      </c>
      <c r="AF17" s="696">
        <f t="shared" si="21"/>
        <v>0</v>
      </c>
      <c r="AG17" s="696">
        <f t="shared" si="22"/>
        <v>0</v>
      </c>
      <c r="AH17" s="639">
        <f>IFERROR(Feed!H154*Feed!G89,0)</f>
        <v>0</v>
      </c>
      <c r="AI17" s="484">
        <f>IFERROR(Feed!I154*Feed!P89,0)</f>
        <v>0</v>
      </c>
      <c r="AJ17" s="914">
        <f>IFERROR(Feed!J154*Feed!Y89,0)</f>
        <v>0</v>
      </c>
      <c r="AK17" s="244">
        <f>VLOOKUP(INPUTS!$D$71,'Crop parameters'!$A$2:$Z$43,4,FALSE)*1000</f>
        <v>13500</v>
      </c>
      <c r="AL17" s="404">
        <f>INPUTS!$E$86</f>
        <v>1</v>
      </c>
      <c r="AM17" s="244">
        <f>VLOOKUP(INPUTS!$D$71,'Crop parameters'!$A$2:$Z$43,8,FALSE)*1000</f>
        <v>5999.9999999999982</v>
      </c>
      <c r="AN17" s="404">
        <f>IF(INPUTS!$E$71="Residue",INPUTS!$F$86,0)</f>
        <v>0</v>
      </c>
      <c r="AO17" s="404">
        <f>IFERROR(IF(INPUTS!$E$71="Main",AH17/(AK17*AL17),AH17/(AM17*AN17)),0)</f>
        <v>0</v>
      </c>
      <c r="AP17" s="404">
        <f>IFERROR(IF(INPUTS!$E$71="Main",AI17/(AK17*AL17),AI17/(AM17*AN17)),0)</f>
        <v>0</v>
      </c>
      <c r="AQ17" s="404">
        <f>IFERROR(IF(INPUTS!$E$71="Main",AJ17/(AK17*AL17),AJ17/(AM17*AN17)),0)</f>
        <v>0</v>
      </c>
      <c r="AR17" s="696">
        <f t="shared" si="4"/>
        <v>0</v>
      </c>
      <c r="AS17" s="704">
        <f t="shared" si="5"/>
        <v>0</v>
      </c>
      <c r="AT17" s="704">
        <f t="shared" si="23"/>
        <v>0</v>
      </c>
      <c r="AU17" s="696">
        <f t="shared" si="24"/>
        <v>0</v>
      </c>
      <c r="AV17" s="696">
        <f t="shared" si="25"/>
        <v>0</v>
      </c>
      <c r="AW17" s="696">
        <f t="shared" si="26"/>
        <v>0</v>
      </c>
      <c r="AX17" s="698">
        <f>IFERROR(Feed!H154*Feed!H89,0)</f>
        <v>0</v>
      </c>
      <c r="AY17" s="484">
        <f>IFERROR(Feed!I154*Feed!Q89,0)</f>
        <v>0</v>
      </c>
      <c r="AZ17" s="484">
        <f>IFERROR(Feed!J154*Feed!Z89,0)</f>
        <v>0</v>
      </c>
      <c r="BA17" s="244">
        <f>VLOOKUP(INPUTS!$D$72,'Crop parameters'!$A$2:$Z$43,4,FALSE)*1000</f>
        <v>19800</v>
      </c>
      <c r="BB17" s="404">
        <f>INPUTS!$E$87</f>
        <v>1</v>
      </c>
      <c r="BC17" s="244">
        <f>VLOOKUP(INPUTS!$D$72,'Crop parameters'!$A$2:$Z$43,8,FALSE)*1000</f>
        <v>9999.9999999999964</v>
      </c>
      <c r="BD17" s="404">
        <f>IF(INPUTS!$E$72="Residue",INPUTS!$F$87,0)</f>
        <v>0</v>
      </c>
      <c r="BE17" s="404">
        <f>IFERROR(IF(INPUTS!$E$72="Main",AX17/(BA17*BB17),AX17/(BC17*BD17)),0)</f>
        <v>0</v>
      </c>
      <c r="BF17" s="404">
        <f>IFERROR(IF(INPUTS!$E$72="Main",AY17/(BA17*BB17),AY17/(BC17*BD17)),0)</f>
        <v>0</v>
      </c>
      <c r="BG17" s="404">
        <f>IFERROR(IF(INPUTS!$E$72="Main",AZ17/(BA17*BB17),AZ17/(BC17*BD17)),0)</f>
        <v>0</v>
      </c>
      <c r="BH17" s="696">
        <f t="shared" si="6"/>
        <v>0</v>
      </c>
      <c r="BI17" s="704">
        <f t="shared" si="7"/>
        <v>0</v>
      </c>
      <c r="BJ17" s="704">
        <f t="shared" si="27"/>
        <v>0</v>
      </c>
      <c r="BK17" s="696">
        <f t="shared" si="28"/>
        <v>0</v>
      </c>
      <c r="BL17" s="696">
        <f t="shared" si="29"/>
        <v>0</v>
      </c>
      <c r="BM17" s="696">
        <f t="shared" si="30"/>
        <v>0</v>
      </c>
      <c r="BN17" s="914">
        <f>IFERROR(Feed!H154*Feed!I89,0)</f>
        <v>0</v>
      </c>
      <c r="BO17" s="484">
        <f>IFERROR(Feed!I154*Feed!R89,0)</f>
        <v>0</v>
      </c>
      <c r="BP17" s="484">
        <f>IFERROR(Feed!J154*Feed!AA89,0)</f>
        <v>0</v>
      </c>
      <c r="BQ17" s="244">
        <f>VLOOKUP(INPUTS!$D$73,'Crop parameters'!$A$2:$Z$43,4,FALSE)*1000</f>
        <v>1299</v>
      </c>
      <c r="BR17" s="404">
        <f>INPUTS!$E$88</f>
        <v>0.4</v>
      </c>
      <c r="BS17" s="244">
        <f>VLOOKUP(INPUTS!$D$73,'Crop parameters'!$A$2:$Z$43,8,FALSE)*1000</f>
        <v>3582.4421538461534</v>
      </c>
      <c r="BT17" s="404">
        <f>IF(INPUTS!$E$73="Residue",INPUTS!$F$88,0)</f>
        <v>0.6</v>
      </c>
      <c r="BU17" s="404">
        <f>IFERROR(IF(INPUTS!$E$73="Main",BN17/(BQ17*BR17),BN17/(BS17*BT17)),0)</f>
        <v>0</v>
      </c>
      <c r="BV17" s="404">
        <f>IFERROR(IF(INPUTS!$E$73="Main",BO17/(BQ17*BR17),BO17/(BS17*BT17)),0)</f>
        <v>0</v>
      </c>
      <c r="BW17" s="404">
        <f>IFERROR(IF(INPUTS!$E$73="Main",BP17/(BQ17*BR17),BP17/(BS17*BT17)),0)</f>
        <v>0</v>
      </c>
      <c r="BX17" s="696">
        <f t="shared" si="8"/>
        <v>0</v>
      </c>
      <c r="BY17" s="704">
        <f t="shared" si="9"/>
        <v>0</v>
      </c>
      <c r="BZ17" s="704">
        <f t="shared" si="31"/>
        <v>0</v>
      </c>
      <c r="CA17" s="696">
        <f t="shared" si="32"/>
        <v>0</v>
      </c>
      <c r="CB17" s="696">
        <f t="shared" si="33"/>
        <v>0</v>
      </c>
      <c r="CC17" s="696">
        <f t="shared" si="34"/>
        <v>0</v>
      </c>
      <c r="CD17" s="914">
        <f>IFERROR(Feed!H154*Feed!J89,0)</f>
        <v>0</v>
      </c>
      <c r="CE17" s="484">
        <f>IFERROR(Feed!I154*Feed!S89,0)</f>
        <v>0</v>
      </c>
      <c r="CF17" s="484">
        <f>IFERROR(Feed!J154*Feed!AB89,0)</f>
        <v>0</v>
      </c>
      <c r="CG17" s="244">
        <f>VLOOKUP(INPUTS!$D$74,'Crop parameters'!$A$2:$Z$43,4,FALSE)*1000</f>
        <v>13049.999999999998</v>
      </c>
      <c r="CH17" s="404">
        <f>INPUTS!$E$89</f>
        <v>1</v>
      </c>
      <c r="CI17" s="244">
        <f>VLOOKUP(INPUTS!$D$74,'Crop parameters'!$A$2:$Z$43,8,FALSE)*1000</f>
        <v>4999.9999999999982</v>
      </c>
      <c r="CJ17" s="404">
        <f>IF(INPUTS!$E$74="Residue",INPUTS!$F$89,0)</f>
        <v>0</v>
      </c>
      <c r="CK17" s="404">
        <f>IFERROR(IF(INPUTS!$E$74="Main",CD17/(CG17*CH17),CD17/(CI17*CJ17)),0)</f>
        <v>0</v>
      </c>
      <c r="CL17" s="404">
        <f>IFERROR(IF(INPUTS!$E$74="Main",CE17/(CG17*CH17),CE17/(CI17*CJ17)),0)</f>
        <v>0</v>
      </c>
      <c r="CM17" s="404">
        <f>IFERROR(IF(INPUTS!$E$74="Main",CF17/(CG17*CH17),CF17/(CI17*CJ17)),0)</f>
        <v>0</v>
      </c>
      <c r="CN17" s="696">
        <f t="shared" si="10"/>
        <v>0</v>
      </c>
      <c r="CO17" s="704">
        <f t="shared" si="11"/>
        <v>0</v>
      </c>
      <c r="CP17" s="704">
        <f t="shared" si="35"/>
        <v>0</v>
      </c>
      <c r="CQ17" s="696">
        <f t="shared" si="36"/>
        <v>0</v>
      </c>
      <c r="CR17" s="696">
        <f t="shared" si="37"/>
        <v>0</v>
      </c>
      <c r="CS17" s="696">
        <f t="shared" si="38"/>
        <v>0</v>
      </c>
      <c r="CT17" s="914">
        <f>IFERROR(Feed!H154*Feed!K89,0)</f>
        <v>0</v>
      </c>
      <c r="CU17" s="484">
        <f>IFERROR(Feed!I154*Feed!T89,0)</f>
        <v>0</v>
      </c>
      <c r="CV17" s="484">
        <f>IFERROR(Feed!J154*Feed!AC89,0)</f>
        <v>0</v>
      </c>
      <c r="CW17" s="244">
        <f>VLOOKUP(INPUTS!$D$75,'Crop parameters'!$A$2:$Z$43,4,FALSE)*1000</f>
        <v>0</v>
      </c>
      <c r="CX17" s="404">
        <f>INPUTS!$E$90</f>
        <v>1</v>
      </c>
      <c r="CY17" s="244">
        <f>VLOOKUP(INPUTS!$D$75,'Crop parameters'!$A$2:$Z$43,8,FALSE)*1000</f>
        <v>0</v>
      </c>
      <c r="CZ17" s="404">
        <f>IF(INPUTS!$E$75="Residue",INPUTS!$F$90,0)</f>
        <v>0</v>
      </c>
      <c r="DA17" s="404">
        <f>IFERROR(IF(INPUTS!$E$75="Main",CT17/(CW17*CX17),CT17/(CY17*CZ17)),0)</f>
        <v>0</v>
      </c>
      <c r="DB17" s="404">
        <f>IFERROR(IF(INPUTS!$E$75="Main",CU17/(CW17*CX17),CU17/(CY17*CZ17)),0)</f>
        <v>0</v>
      </c>
      <c r="DC17" s="404">
        <f>IFERROR(IF(INPUTS!$E$75="Main",CV17/(CW17*CX17),CV17/(CY17*CZ17)),0)</f>
        <v>0</v>
      </c>
      <c r="DD17" s="696">
        <f t="shared" si="12"/>
        <v>0</v>
      </c>
      <c r="DE17" s="704">
        <f t="shared" si="13"/>
        <v>0</v>
      </c>
      <c r="DF17" s="704">
        <f t="shared" si="39"/>
        <v>0</v>
      </c>
      <c r="DG17" s="696">
        <f t="shared" si="40"/>
        <v>0</v>
      </c>
      <c r="DH17" s="696">
        <f t="shared" si="41"/>
        <v>0</v>
      </c>
      <c r="DI17" s="404">
        <f t="shared" si="42"/>
        <v>0</v>
      </c>
      <c r="DJ17" s="641">
        <f t="shared" si="43"/>
        <v>0</v>
      </c>
      <c r="DK17" s="641">
        <f t="shared" si="44"/>
        <v>0</v>
      </c>
      <c r="DL17" s="641">
        <f t="shared" si="45"/>
        <v>0</v>
      </c>
    </row>
    <row r="18" spans="1:119" s="910" customFormat="1">
      <c r="A18" s="474">
        <f>'Livestock parameters'!A14</f>
        <v>0</v>
      </c>
      <c r="B18" s="698">
        <f>IFERROR(Feed!H155*Feed!E96,0)</f>
        <v>0</v>
      </c>
      <c r="C18" s="914">
        <f>IFERROR(Feed!I155*Feed!N96,0)</f>
        <v>0</v>
      </c>
      <c r="D18" s="914">
        <f>IFERROR(Feed!J155*Feed!W96,0)</f>
        <v>0</v>
      </c>
      <c r="E18" s="244">
        <f>VLOOKUP(INPUTS!$D$69,'Crop parameters'!$A$2:$Z$43,4,FALSE)*1000</f>
        <v>0</v>
      </c>
      <c r="F18" s="404">
        <f>INPUTS!$E$84</f>
        <v>1</v>
      </c>
      <c r="G18" s="244">
        <f>VLOOKUP(INPUTS!$D$69,'Crop parameters'!$A$2:$Z$43,8,FALSE)*1000</f>
        <v>0</v>
      </c>
      <c r="H18" s="404">
        <f>IF(INPUTS!$E$69="Residue",INPUTS!$F$84,0)</f>
        <v>0</v>
      </c>
      <c r="I18" s="404">
        <f>IFERROR(IF(INPUTS!$E$69="Main",B18/(E18*F18),B18/(G18*H18)),0)</f>
        <v>0</v>
      </c>
      <c r="J18" s="404">
        <f>IFERROR(IF(INPUTS!$E$69="Main",C18/(E18*F18),C18/(G18*H18)),0)</f>
        <v>0</v>
      </c>
      <c r="K18" s="404">
        <f>IFERROR(IF(INPUTS!$E$69="Main",D18/(E18*F18),D18/(G18*H18)),0)</f>
        <v>0</v>
      </c>
      <c r="L18" s="696">
        <f t="shared" si="49"/>
        <v>0</v>
      </c>
      <c r="M18" s="704">
        <f t="shared" si="50"/>
        <v>0</v>
      </c>
      <c r="N18" s="704">
        <f t="shared" si="15"/>
        <v>0</v>
      </c>
      <c r="O18" s="696">
        <f t="shared" si="51"/>
        <v>0</v>
      </c>
      <c r="P18" s="696">
        <f t="shared" si="17"/>
        <v>0</v>
      </c>
      <c r="Q18" s="696">
        <f t="shared" si="18"/>
        <v>0</v>
      </c>
      <c r="R18" s="639">
        <f>IFERROR(Feed!H155*Feed!F96,0)</f>
        <v>0</v>
      </c>
      <c r="S18" s="484">
        <f>IFERROR(Feed!I155*Feed!O96,0)</f>
        <v>0</v>
      </c>
      <c r="T18" s="914">
        <f>IFERROR(Feed!Z155*Feed!X96,0)</f>
        <v>0</v>
      </c>
      <c r="U18" s="244">
        <f>VLOOKUP(INPUTS!$D$70,'Crop parameters'!$A$2:$Z$43,4,FALSE)*1000</f>
        <v>22050</v>
      </c>
      <c r="V18" s="404">
        <f>INPUTS!$E$85</f>
        <v>1</v>
      </c>
      <c r="W18" s="244">
        <f>VLOOKUP(INPUTS!$D$70,'Crop parameters'!$A$2:$Z$43,8,FALSE)*1000</f>
        <v>11666.666666666662</v>
      </c>
      <c r="X18" s="404">
        <f>IF(INPUTS!$E$70="Residue",INPUTS!$F$85,0)</f>
        <v>0</v>
      </c>
      <c r="Y18" s="404">
        <f>IFERROR(IF(INPUTS!$E$70="Main",R18/(U18*V18),R18/(W18*X18)),0)</f>
        <v>0</v>
      </c>
      <c r="Z18" s="404">
        <f>IFERROR(IF(INPUTS!$E$70="Main",S18/(U18*V18),S18/(W18*X18)),0)</f>
        <v>0</v>
      </c>
      <c r="AA18" s="404">
        <f>IFERROR(IF(INPUTS!$E$70="Main",T18/(U18*V18),T18/(W18*X18)),0)</f>
        <v>0</v>
      </c>
      <c r="AB18" s="696">
        <f t="shared" si="2"/>
        <v>0</v>
      </c>
      <c r="AC18" s="704">
        <f t="shared" si="3"/>
        <v>0</v>
      </c>
      <c r="AD18" s="704">
        <f t="shared" si="19"/>
        <v>0</v>
      </c>
      <c r="AE18" s="696">
        <f t="shared" si="20"/>
        <v>0</v>
      </c>
      <c r="AF18" s="696">
        <f t="shared" si="21"/>
        <v>0</v>
      </c>
      <c r="AG18" s="696">
        <f t="shared" si="22"/>
        <v>0</v>
      </c>
      <c r="AH18" s="639">
        <f>IFERROR(Feed!H155*Feed!G96,0)</f>
        <v>0</v>
      </c>
      <c r="AI18" s="484">
        <f>IFERROR(Feed!I155*Feed!P96,0)</f>
        <v>0</v>
      </c>
      <c r="AJ18" s="914">
        <f>IFERROR(Feed!J155*Feed!Y96,0)</f>
        <v>0</v>
      </c>
      <c r="AK18" s="244">
        <f>VLOOKUP(INPUTS!$D$71,'Crop parameters'!$A$2:$Z$43,4,FALSE)*1000</f>
        <v>13500</v>
      </c>
      <c r="AL18" s="404">
        <f>INPUTS!$E$86</f>
        <v>1</v>
      </c>
      <c r="AM18" s="244">
        <f>VLOOKUP(INPUTS!$D$71,'Crop parameters'!$A$2:$Z$43,8,FALSE)*1000</f>
        <v>5999.9999999999982</v>
      </c>
      <c r="AN18" s="404">
        <f>IF(INPUTS!$E$71="Residue",INPUTS!$F$86,0)</f>
        <v>0</v>
      </c>
      <c r="AO18" s="404">
        <f>IFERROR(IF(INPUTS!$E$71="Main",AH18/(AK18*AL18),AH18/(AM18*AN18)),0)</f>
        <v>0</v>
      </c>
      <c r="AP18" s="404">
        <f>IFERROR(IF(INPUTS!$E$71="Main",AI18/(AK18*AL18),AI18/(AM18*AN18)),0)</f>
        <v>0</v>
      </c>
      <c r="AQ18" s="404">
        <f>IFERROR(IF(INPUTS!$E$71="Main",AJ18/(AK18*AL18),AJ18/(AM18*AN18)),0)</f>
        <v>0</v>
      </c>
      <c r="AR18" s="696">
        <f t="shared" si="4"/>
        <v>0</v>
      </c>
      <c r="AS18" s="704">
        <f t="shared" si="5"/>
        <v>0</v>
      </c>
      <c r="AT18" s="704">
        <f t="shared" si="23"/>
        <v>0</v>
      </c>
      <c r="AU18" s="696">
        <f t="shared" si="24"/>
        <v>0</v>
      </c>
      <c r="AV18" s="696">
        <f t="shared" si="25"/>
        <v>0</v>
      </c>
      <c r="AW18" s="696">
        <f t="shared" si="26"/>
        <v>0</v>
      </c>
      <c r="AX18" s="698">
        <f>IFERROR(Feed!H155*Feed!H96,0)</f>
        <v>0</v>
      </c>
      <c r="AY18" s="484">
        <f>IFERROR(Feed!I155*Feed!Q96,0)</f>
        <v>0</v>
      </c>
      <c r="AZ18" s="484">
        <f>IFERROR(Feed!J155*Feed!Z96,0)</f>
        <v>0</v>
      </c>
      <c r="BA18" s="244">
        <f>VLOOKUP(INPUTS!$D$72,'Crop parameters'!$A$2:$Z$43,4,FALSE)*1000</f>
        <v>19800</v>
      </c>
      <c r="BB18" s="404">
        <f>INPUTS!$E$87</f>
        <v>1</v>
      </c>
      <c r="BC18" s="244">
        <f>VLOOKUP(INPUTS!$D$72,'Crop parameters'!$A$2:$Z$43,8,FALSE)*1000</f>
        <v>9999.9999999999964</v>
      </c>
      <c r="BD18" s="404">
        <f>IF(INPUTS!$E$72="Residue",INPUTS!$F$87,0)</f>
        <v>0</v>
      </c>
      <c r="BE18" s="404">
        <f>IFERROR(IF(INPUTS!$E$72="Main",AX18/(BA18*BB18),AX18/(BC18*BD18)),0)</f>
        <v>0</v>
      </c>
      <c r="BF18" s="404">
        <f>IFERROR(IF(INPUTS!$E$72="Main",AY18/(BA18*BB18),AY18/(BC18*BD18)),0)</f>
        <v>0</v>
      </c>
      <c r="BG18" s="404">
        <f>IFERROR(IF(INPUTS!$E$72="Main",AZ18/(BA18*BB18),AZ18/(BC18*BD18)),0)</f>
        <v>0</v>
      </c>
      <c r="BH18" s="696">
        <f t="shared" si="6"/>
        <v>0</v>
      </c>
      <c r="BI18" s="704">
        <f t="shared" si="7"/>
        <v>0</v>
      </c>
      <c r="BJ18" s="704">
        <f t="shared" si="27"/>
        <v>0</v>
      </c>
      <c r="BK18" s="696">
        <f t="shared" si="28"/>
        <v>0</v>
      </c>
      <c r="BL18" s="696">
        <f t="shared" si="29"/>
        <v>0</v>
      </c>
      <c r="BM18" s="696">
        <f t="shared" si="30"/>
        <v>0</v>
      </c>
      <c r="BN18" s="914">
        <f>IFERROR(Feed!H155*Feed!I96,0)</f>
        <v>0</v>
      </c>
      <c r="BO18" s="484">
        <f>IFERROR(Feed!I155*Feed!R96,0)</f>
        <v>0</v>
      </c>
      <c r="BP18" s="484">
        <f>IFERROR(Feed!J155*Feed!AA96,0)</f>
        <v>0</v>
      </c>
      <c r="BQ18" s="244">
        <f>VLOOKUP(INPUTS!$D$73,'Crop parameters'!$A$2:$Z$43,4,FALSE)*1000</f>
        <v>1299</v>
      </c>
      <c r="BR18" s="404">
        <f>INPUTS!$E$88</f>
        <v>0.4</v>
      </c>
      <c r="BS18" s="244">
        <f>VLOOKUP(INPUTS!$D$73,'Crop parameters'!$A$2:$Z$43,8,FALSE)*1000</f>
        <v>3582.4421538461534</v>
      </c>
      <c r="BT18" s="404">
        <f>IF(INPUTS!$E$73="Residue",INPUTS!$F$88,0)</f>
        <v>0.6</v>
      </c>
      <c r="BU18" s="404">
        <f>IFERROR(IF(INPUTS!$E$73="Main",BN18/(BQ18*BR18),BN18/(BS18*BT18)),0)</f>
        <v>0</v>
      </c>
      <c r="BV18" s="404">
        <f>IFERROR(IF(INPUTS!$E$73="Main",BO18/(BQ18*BR18),BO18/(BS18*BT18)),0)</f>
        <v>0</v>
      </c>
      <c r="BW18" s="404">
        <f>IFERROR(IF(INPUTS!$E$73="Main",BP18/(BQ18*BR18),BP18/(BS18*BT18)),0)</f>
        <v>0</v>
      </c>
      <c r="BX18" s="696">
        <f t="shared" si="8"/>
        <v>0</v>
      </c>
      <c r="BY18" s="704">
        <f t="shared" si="9"/>
        <v>0</v>
      </c>
      <c r="BZ18" s="704">
        <f t="shared" si="31"/>
        <v>0</v>
      </c>
      <c r="CA18" s="696">
        <f t="shared" si="32"/>
        <v>0</v>
      </c>
      <c r="CB18" s="696">
        <f t="shared" si="33"/>
        <v>0</v>
      </c>
      <c r="CC18" s="696">
        <f t="shared" si="34"/>
        <v>0</v>
      </c>
      <c r="CD18" s="914">
        <f>IFERROR(Feed!H155*Feed!J96,0)</f>
        <v>0</v>
      </c>
      <c r="CE18" s="484">
        <f>IFERROR(Feed!I155*Feed!S96,0)</f>
        <v>0</v>
      </c>
      <c r="CF18" s="484">
        <f>IFERROR(Feed!J155*Feed!AB96,0)</f>
        <v>0</v>
      </c>
      <c r="CG18" s="244">
        <f>VLOOKUP(INPUTS!$D$74,'Crop parameters'!$A$2:$Z$43,4,FALSE)*1000</f>
        <v>13049.999999999998</v>
      </c>
      <c r="CH18" s="404">
        <f>INPUTS!$E$89</f>
        <v>1</v>
      </c>
      <c r="CI18" s="244">
        <f>VLOOKUP(INPUTS!$D$74,'Crop parameters'!$A$2:$Z$43,8,FALSE)*1000</f>
        <v>4999.9999999999982</v>
      </c>
      <c r="CJ18" s="404">
        <f>IF(INPUTS!$E$74="Residue",INPUTS!$F$89,0)</f>
        <v>0</v>
      </c>
      <c r="CK18" s="404">
        <f>IFERROR(IF(INPUTS!$E$74="Main",CD18/(CG18*CH18),CD18/(CI18*CJ18)),0)</f>
        <v>0</v>
      </c>
      <c r="CL18" s="404">
        <f>IFERROR(IF(INPUTS!$E$74="Main",CE18/(CG18*CH18),CE18/(CI18*CJ18)),0)</f>
        <v>0</v>
      </c>
      <c r="CM18" s="404">
        <f>IFERROR(IF(INPUTS!$E$74="Main",CF18/(CG18*CH18),CF18/(CI18*CJ18)),0)</f>
        <v>0</v>
      </c>
      <c r="CN18" s="696">
        <f t="shared" si="10"/>
        <v>0</v>
      </c>
      <c r="CO18" s="704">
        <f t="shared" si="11"/>
        <v>0</v>
      </c>
      <c r="CP18" s="704">
        <f t="shared" si="35"/>
        <v>0</v>
      </c>
      <c r="CQ18" s="696">
        <f t="shared" si="36"/>
        <v>0</v>
      </c>
      <c r="CR18" s="696">
        <f t="shared" si="37"/>
        <v>0</v>
      </c>
      <c r="CS18" s="696">
        <f t="shared" si="38"/>
        <v>0</v>
      </c>
      <c r="CT18" s="914">
        <f>IFERROR(Feed!H155*Feed!K96,0)</f>
        <v>0</v>
      </c>
      <c r="CU18" s="484">
        <f>IFERROR(Feed!I155*Feed!T96,0)</f>
        <v>0</v>
      </c>
      <c r="CV18" s="484">
        <f>IFERROR(Feed!J155*Feed!AC96,0)</f>
        <v>0</v>
      </c>
      <c r="CW18" s="244">
        <f>VLOOKUP(INPUTS!$D$75,'Crop parameters'!$A$2:$Z$43,4,FALSE)*1000</f>
        <v>0</v>
      </c>
      <c r="CX18" s="404">
        <f>INPUTS!$E$90</f>
        <v>1</v>
      </c>
      <c r="CY18" s="244">
        <f>VLOOKUP(INPUTS!$D$75,'Crop parameters'!$A$2:$Z$43,8,FALSE)*1000</f>
        <v>0</v>
      </c>
      <c r="CZ18" s="404">
        <f>IF(INPUTS!$E$75="Residue",INPUTS!$F$90,0)</f>
        <v>0</v>
      </c>
      <c r="DA18" s="404">
        <f>IFERROR(IF(INPUTS!$E$75="Main",CT18/(CW18*CX18),CT18/(CY18*CZ18)),0)</f>
        <v>0</v>
      </c>
      <c r="DB18" s="404">
        <f>IFERROR(IF(INPUTS!$E$75="Main",CU18/(CW18*CX18),CU18/(CY18*CZ18)),0)</f>
        <v>0</v>
      </c>
      <c r="DC18" s="404">
        <f>IFERROR(IF(INPUTS!$E$75="Main",CV18/(CW18*CX18),CV18/(CY18*CZ18)),0)</f>
        <v>0</v>
      </c>
      <c r="DD18" s="696">
        <f t="shared" si="12"/>
        <v>0</v>
      </c>
      <c r="DE18" s="704">
        <f t="shared" si="13"/>
        <v>0</v>
      </c>
      <c r="DF18" s="704">
        <f t="shared" si="39"/>
        <v>0</v>
      </c>
      <c r="DG18" s="696">
        <f t="shared" si="40"/>
        <v>0</v>
      </c>
      <c r="DH18" s="696">
        <f t="shared" si="41"/>
        <v>0</v>
      </c>
      <c r="DI18" s="404">
        <f t="shared" si="42"/>
        <v>0</v>
      </c>
      <c r="DJ18" s="641">
        <f t="shared" si="43"/>
        <v>0</v>
      </c>
      <c r="DK18" s="641">
        <f t="shared" si="44"/>
        <v>0</v>
      </c>
      <c r="DL18" s="641">
        <f t="shared" si="45"/>
        <v>0</v>
      </c>
    </row>
    <row r="19" spans="1:119" s="886" customFormat="1">
      <c r="A19" s="474">
        <f>'Livestock parameters'!A15</f>
        <v>0</v>
      </c>
      <c r="B19" s="639">
        <f>IFERROR(Feed!H156*Feed!E103,0)</f>
        <v>0</v>
      </c>
      <c r="C19" s="639">
        <f>IFERROR(Feed!I156*Feed!N103,0)</f>
        <v>0</v>
      </c>
      <c r="D19" s="639">
        <f>IFERROR(Feed!J156*Feed!W103,0)</f>
        <v>0</v>
      </c>
      <c r="E19" s="244">
        <f>VLOOKUP(INPUTS!$D$69,'Crop parameters'!$A$2:$Z$43,4,FALSE)*1000</f>
        <v>0</v>
      </c>
      <c r="F19" s="404">
        <f>INPUTS!$E$84</f>
        <v>1</v>
      </c>
      <c r="G19" s="244">
        <f>VLOOKUP(INPUTS!$D$69,'Crop parameters'!$A$2:$Z$43,8,FALSE)*1000</f>
        <v>0</v>
      </c>
      <c r="H19" s="404">
        <f>IF(INPUTS!$E$69="Residue",INPUTS!$F$84,0)</f>
        <v>0</v>
      </c>
      <c r="I19" s="404">
        <f>IFERROR(IF(INPUTS!$E$69="Main",B19/(E19*F19),B19/(G19*H19)),0)</f>
        <v>0</v>
      </c>
      <c r="J19" s="404">
        <f>IFERROR(IF(INPUTS!$E$69="Main",C19/(E19*F19),C19/(G19*H19)),0)</f>
        <v>0</v>
      </c>
      <c r="K19" s="404">
        <f>IFERROR(IF(INPUTS!$E$69="Main",D19/(E19*F19),D19/(G19*H19)),0)</f>
        <v>0</v>
      </c>
      <c r="L19" s="696">
        <f t="shared" ref="L19" si="52">IF(H19&gt;0,I19*(E19*F19/(E19*F19+G19*H19)),0)</f>
        <v>0</v>
      </c>
      <c r="M19" s="704">
        <f t="shared" ref="M19" si="53">IF(H19&gt;0,J19*(E19*F19/(E19*F19+G19*H19)),0)</f>
        <v>0</v>
      </c>
      <c r="N19" s="704">
        <f t="shared" si="15"/>
        <v>0</v>
      </c>
      <c r="O19" s="696">
        <f t="shared" ref="O19" si="54">IFERROR(IF(H19&gt;0,I19*(G19*H19/(E19*F19+G19*H19)),I19*(E19*F19+G19*H19)/(E19*F19+G19*H19)),0)</f>
        <v>0</v>
      </c>
      <c r="P19" s="696">
        <f t="shared" si="17"/>
        <v>0</v>
      </c>
      <c r="Q19" s="696">
        <f t="shared" si="18"/>
        <v>0</v>
      </c>
      <c r="R19" s="639">
        <f>IFERROR(Feed!H156*Feed!F103,0)</f>
        <v>0</v>
      </c>
      <c r="S19" s="484">
        <f>IFERROR(Feed!I156*Feed!O103,0)</f>
        <v>0</v>
      </c>
      <c r="T19" s="639">
        <f>IFERROR(Feed!Z156*Feed!X103,0)</f>
        <v>0</v>
      </c>
      <c r="U19" s="244">
        <f>VLOOKUP(INPUTS!$D$70,'Crop parameters'!$A$2:$Z$43,4,FALSE)*1000</f>
        <v>22050</v>
      </c>
      <c r="V19" s="404">
        <f>INPUTS!$E$85</f>
        <v>1</v>
      </c>
      <c r="W19" s="244">
        <f>VLOOKUP(INPUTS!$D$70,'Crop parameters'!$A$2:$Z$43,8,FALSE)*1000</f>
        <v>11666.666666666662</v>
      </c>
      <c r="X19" s="404">
        <f>IF(INPUTS!$E$70="Residue",INPUTS!$F$85,0)</f>
        <v>0</v>
      </c>
      <c r="Y19" s="404">
        <f>IFERROR(IF(INPUTS!$E$70="Main",R19/(U19*V19),R19/(W19*X19)),0)</f>
        <v>0</v>
      </c>
      <c r="Z19" s="404">
        <f>IFERROR(IF(INPUTS!$E$70="Main",S19/(U19*V19),S19/(W19*X19)),0)</f>
        <v>0</v>
      </c>
      <c r="AA19" s="404">
        <f>IFERROR(IF(INPUTS!$E$70="Main",T19/(U19*V19),T19/(W19*X19)),0)</f>
        <v>0</v>
      </c>
      <c r="AB19" s="696">
        <f t="shared" si="2"/>
        <v>0</v>
      </c>
      <c r="AC19" s="704">
        <f t="shared" si="3"/>
        <v>0</v>
      </c>
      <c r="AD19" s="704">
        <f t="shared" si="19"/>
        <v>0</v>
      </c>
      <c r="AE19" s="696">
        <f t="shared" si="20"/>
        <v>0</v>
      </c>
      <c r="AF19" s="696">
        <f t="shared" si="21"/>
        <v>0</v>
      </c>
      <c r="AG19" s="696">
        <f t="shared" si="22"/>
        <v>0</v>
      </c>
      <c r="AH19" s="639">
        <f>IFERROR(Feed!H156*Feed!G103,0)</f>
        <v>0</v>
      </c>
      <c r="AI19" s="484">
        <f>IFERROR(Feed!I156*Feed!P103,0)</f>
        <v>0</v>
      </c>
      <c r="AJ19" s="639">
        <f>IFERROR(Feed!J156*Feed!Y103,0)</f>
        <v>0</v>
      </c>
      <c r="AK19" s="244">
        <f>VLOOKUP(INPUTS!$D$71,'Crop parameters'!$A$2:$Z$43,4,FALSE)*1000</f>
        <v>13500</v>
      </c>
      <c r="AL19" s="404">
        <f>INPUTS!$E$86</f>
        <v>1</v>
      </c>
      <c r="AM19" s="244">
        <f>VLOOKUP(INPUTS!$D$71,'Crop parameters'!$A$2:$Z$43,8,FALSE)*1000</f>
        <v>5999.9999999999982</v>
      </c>
      <c r="AN19" s="404">
        <f>IF(INPUTS!$E$71="Residue",INPUTS!$F$86,0)</f>
        <v>0</v>
      </c>
      <c r="AO19" s="404">
        <f>IFERROR(IF(INPUTS!$E$71="Main",AH19/(AK19*AL19),AH19/(AM19*AN19)),0)</f>
        <v>0</v>
      </c>
      <c r="AP19" s="404">
        <f>IFERROR(IF(INPUTS!$E$71="Main",AI19/(AK19*AL19),AI19/(AM19*AN19)),0)</f>
        <v>0</v>
      </c>
      <c r="AQ19" s="404">
        <f>IFERROR(IF(INPUTS!$E$71="Main",AJ19/(AK19*AL19),AJ19/(AM19*AN19)),0)</f>
        <v>0</v>
      </c>
      <c r="AR19" s="696">
        <f t="shared" si="4"/>
        <v>0</v>
      </c>
      <c r="AS19" s="704">
        <f t="shared" si="5"/>
        <v>0</v>
      </c>
      <c r="AT19" s="704">
        <f t="shared" si="23"/>
        <v>0</v>
      </c>
      <c r="AU19" s="696">
        <f t="shared" si="24"/>
        <v>0</v>
      </c>
      <c r="AV19" s="696">
        <f t="shared" si="25"/>
        <v>0</v>
      </c>
      <c r="AW19" s="696">
        <f t="shared" si="26"/>
        <v>0</v>
      </c>
      <c r="AX19" s="698">
        <f>IFERROR(Feed!H156*Feed!H103,0)</f>
        <v>0</v>
      </c>
      <c r="AY19" s="484">
        <f>IFERROR(Feed!I156*Feed!Q103,0)</f>
        <v>0</v>
      </c>
      <c r="AZ19" s="484">
        <f>IFERROR(Feed!J156*Feed!Z103,0)</f>
        <v>0</v>
      </c>
      <c r="BA19" s="244">
        <f>VLOOKUP(INPUTS!$D$72,'Crop parameters'!$A$2:$Z$43,4,FALSE)*1000</f>
        <v>19800</v>
      </c>
      <c r="BB19" s="404">
        <f>INPUTS!$E$87</f>
        <v>1</v>
      </c>
      <c r="BC19" s="244">
        <f>VLOOKUP(INPUTS!$D$72,'Crop parameters'!$A$2:$Z$43,8,FALSE)*1000</f>
        <v>9999.9999999999964</v>
      </c>
      <c r="BD19" s="404">
        <f>IF(INPUTS!$E$72="Residue",INPUTS!$F$87,0)</f>
        <v>0</v>
      </c>
      <c r="BE19" s="404">
        <f>IFERROR(IF(INPUTS!$E$72="Main",AX19/(BA19*BB19),AX19/(BC19*BD19)),0)</f>
        <v>0</v>
      </c>
      <c r="BF19" s="404">
        <f>IFERROR(IF(INPUTS!$E$72="Main",AY19/(BA19*BB19),AY19/(BC19*BD19)),0)</f>
        <v>0</v>
      </c>
      <c r="BG19" s="404">
        <f>IFERROR(IF(INPUTS!$E$72="Main",AZ19/(BA19*BB19),AZ19/(BC19*BD19)),0)</f>
        <v>0</v>
      </c>
      <c r="BH19" s="696">
        <f t="shared" si="6"/>
        <v>0</v>
      </c>
      <c r="BI19" s="704">
        <f t="shared" si="7"/>
        <v>0</v>
      </c>
      <c r="BJ19" s="704">
        <f t="shared" si="27"/>
        <v>0</v>
      </c>
      <c r="BK19" s="696">
        <f t="shared" si="28"/>
        <v>0</v>
      </c>
      <c r="BL19" s="696">
        <f t="shared" si="29"/>
        <v>0</v>
      </c>
      <c r="BM19" s="696">
        <f t="shared" si="30"/>
        <v>0</v>
      </c>
      <c r="BN19" s="914">
        <f>IFERROR(Feed!H156*Feed!I103,0)</f>
        <v>0</v>
      </c>
      <c r="BO19" s="484">
        <f>IFERROR(Feed!I156*Feed!R103,0)</f>
        <v>0</v>
      </c>
      <c r="BP19" s="484">
        <f>IFERROR(Feed!J156*Feed!AA103,0)</f>
        <v>0</v>
      </c>
      <c r="BQ19" s="244">
        <f>VLOOKUP(INPUTS!$D$73,'Crop parameters'!$A$2:$Z$43,4,FALSE)*1000</f>
        <v>1299</v>
      </c>
      <c r="BR19" s="404">
        <f>INPUTS!$E$88</f>
        <v>0.4</v>
      </c>
      <c r="BS19" s="244">
        <f>VLOOKUP(INPUTS!$D$73,'Crop parameters'!$A$2:$Z$43,8,FALSE)*1000</f>
        <v>3582.4421538461534</v>
      </c>
      <c r="BT19" s="404">
        <f>IF(INPUTS!$E$73="Residue",INPUTS!$F$88,0)</f>
        <v>0.6</v>
      </c>
      <c r="BU19" s="404">
        <f>IFERROR(IF(INPUTS!$E$73="Main",BN19/(BQ19*BR19),BN19/(BS19*BT19)),0)</f>
        <v>0</v>
      </c>
      <c r="BV19" s="404">
        <f>IFERROR(IF(INPUTS!$E$73="Main",BO19/(BQ19*BR19),BO19/(BS19*BT19)),0)</f>
        <v>0</v>
      </c>
      <c r="BW19" s="404">
        <f>IFERROR(IF(INPUTS!$E$73="Main",BP19/(BQ19*BR19),BP19/(BS19*BT19)),0)</f>
        <v>0</v>
      </c>
      <c r="BX19" s="696">
        <f t="shared" si="8"/>
        <v>0</v>
      </c>
      <c r="BY19" s="704">
        <f t="shared" si="9"/>
        <v>0</v>
      </c>
      <c r="BZ19" s="704">
        <f t="shared" si="31"/>
        <v>0</v>
      </c>
      <c r="CA19" s="696">
        <f t="shared" si="32"/>
        <v>0</v>
      </c>
      <c r="CB19" s="696">
        <f t="shared" si="33"/>
        <v>0</v>
      </c>
      <c r="CC19" s="696">
        <f t="shared" si="34"/>
        <v>0</v>
      </c>
      <c r="CD19" s="914">
        <f>IFERROR(Feed!H156*Feed!J103,0)</f>
        <v>0</v>
      </c>
      <c r="CE19" s="484">
        <f>IFERROR(Feed!I156*Feed!S103,0)</f>
        <v>0</v>
      </c>
      <c r="CF19" s="484">
        <f>IFERROR(Feed!J156*Feed!AB103,0)</f>
        <v>0</v>
      </c>
      <c r="CG19" s="244">
        <f>VLOOKUP(INPUTS!$D$74,'Crop parameters'!$A$2:$Z$43,4,FALSE)*1000</f>
        <v>13049.999999999998</v>
      </c>
      <c r="CH19" s="404">
        <f>INPUTS!$E$89</f>
        <v>1</v>
      </c>
      <c r="CI19" s="244">
        <f>VLOOKUP(INPUTS!$D$74,'Crop parameters'!$A$2:$Z$43,8,FALSE)*1000</f>
        <v>4999.9999999999982</v>
      </c>
      <c r="CJ19" s="404">
        <f>IF(INPUTS!$E$74="Residue",INPUTS!$F$89,0)</f>
        <v>0</v>
      </c>
      <c r="CK19" s="404">
        <f>IFERROR(IF(INPUTS!$E$74="Main",CD19/(CG19*CH19),CD19/(CI19*CJ19)),0)</f>
        <v>0</v>
      </c>
      <c r="CL19" s="404">
        <f>IFERROR(IF(INPUTS!$E$74="Main",CE19/(CG19*CH19),CE19/(CI19*CJ19)),0)</f>
        <v>0</v>
      </c>
      <c r="CM19" s="404">
        <f>IFERROR(IF(INPUTS!$E$74="Main",CF19/(CG19*CH19),CF19/(CI19*CJ19)),0)</f>
        <v>0</v>
      </c>
      <c r="CN19" s="696">
        <f t="shared" si="10"/>
        <v>0</v>
      </c>
      <c r="CO19" s="704">
        <f t="shared" si="11"/>
        <v>0</v>
      </c>
      <c r="CP19" s="704">
        <f t="shared" si="35"/>
        <v>0</v>
      </c>
      <c r="CQ19" s="696">
        <f t="shared" si="36"/>
        <v>0</v>
      </c>
      <c r="CR19" s="696">
        <f t="shared" si="37"/>
        <v>0</v>
      </c>
      <c r="CS19" s="696">
        <f t="shared" si="38"/>
        <v>0</v>
      </c>
      <c r="CT19" s="914">
        <f>IFERROR(Feed!H156*Feed!K103,0)</f>
        <v>0</v>
      </c>
      <c r="CU19" s="484">
        <f>IFERROR(Feed!I156*Feed!T103,0)</f>
        <v>0</v>
      </c>
      <c r="CV19" s="484">
        <f>IFERROR(Feed!J156*Feed!AC103,0)</f>
        <v>0</v>
      </c>
      <c r="CW19" s="244">
        <f>VLOOKUP(INPUTS!$D$75,'Crop parameters'!$A$2:$Z$43,4,FALSE)*1000</f>
        <v>0</v>
      </c>
      <c r="CX19" s="404">
        <f>INPUTS!$E$90</f>
        <v>1</v>
      </c>
      <c r="CY19" s="244">
        <f>VLOOKUP(INPUTS!$D$75,'Crop parameters'!$A$2:$Z$43,8,FALSE)*1000</f>
        <v>0</v>
      </c>
      <c r="CZ19" s="404">
        <f>IF(INPUTS!$E$75="Residue",INPUTS!$F$90,0)</f>
        <v>0</v>
      </c>
      <c r="DA19" s="404">
        <f>IFERROR(IF(INPUTS!$E$75="Main",CT19/(CW19*CX19),CT19/(CY19*CZ19)),0)</f>
        <v>0</v>
      </c>
      <c r="DB19" s="404">
        <f>IFERROR(IF(INPUTS!$E$75="Main",CU19/(CW19*CX19),CU19/(CY19*CZ19)),0)</f>
        <v>0</v>
      </c>
      <c r="DC19" s="404">
        <f>IFERROR(IF(INPUTS!$E$75="Main",CV19/(CW19*CX19),CV19/(CY19*CZ19)),0)</f>
        <v>0</v>
      </c>
      <c r="DD19" s="696">
        <f t="shared" si="12"/>
        <v>0</v>
      </c>
      <c r="DE19" s="704">
        <f t="shared" si="13"/>
        <v>0</v>
      </c>
      <c r="DF19" s="704">
        <f t="shared" si="39"/>
        <v>0</v>
      </c>
      <c r="DG19" s="696">
        <f t="shared" si="40"/>
        <v>0</v>
      </c>
      <c r="DH19" s="696">
        <f t="shared" si="41"/>
        <v>0</v>
      </c>
      <c r="DI19" s="404">
        <f t="shared" si="42"/>
        <v>0</v>
      </c>
      <c r="DJ19" s="641">
        <f t="shared" si="43"/>
        <v>0</v>
      </c>
      <c r="DK19" s="641">
        <f t="shared" si="44"/>
        <v>0</v>
      </c>
      <c r="DL19" s="641">
        <f t="shared" si="45"/>
        <v>0</v>
      </c>
    </row>
    <row r="20" spans="1:119">
      <c r="A20" s="474"/>
      <c r="B20" s="643">
        <f>SUM(B6:B19)</f>
        <v>941.70753469102169</v>
      </c>
      <c r="C20" s="643">
        <f>SUM(C6:C19)</f>
        <v>1215.9030912119924</v>
      </c>
      <c r="D20" s="643">
        <f>SUM(D6:D19)</f>
        <v>0</v>
      </c>
      <c r="E20" s="349"/>
      <c r="F20" s="349"/>
      <c r="G20" s="349"/>
      <c r="H20" s="244"/>
      <c r="I20" s="404"/>
      <c r="J20" s="700"/>
      <c r="K20" s="700"/>
      <c r="L20" s="700"/>
      <c r="M20" s="700"/>
      <c r="N20" s="700"/>
      <c r="O20" s="700"/>
      <c r="P20" s="700"/>
      <c r="Q20" s="641"/>
      <c r="R20" s="479">
        <f t="shared" ref="R20:S20" si="55">SUM(R6:R19)</f>
        <v>470.85376734551085</v>
      </c>
      <c r="S20" s="349">
        <f t="shared" si="55"/>
        <v>202.65051520199876</v>
      </c>
      <c r="T20" s="643">
        <f>SUM(T6:T19)</f>
        <v>0</v>
      </c>
      <c r="U20" s="349"/>
      <c r="V20" s="349"/>
      <c r="W20" s="349"/>
      <c r="X20" s="244"/>
      <c r="Y20" s="404"/>
      <c r="Z20" s="700"/>
      <c r="AA20" s="700"/>
      <c r="AB20" s="700"/>
      <c r="AC20" s="700"/>
      <c r="AD20" s="700"/>
      <c r="AE20" s="700"/>
      <c r="AF20" s="700"/>
      <c r="AG20" s="641"/>
      <c r="AH20" s="479">
        <f t="shared" ref="AH20:AI20" si="56">SUM(AH6:AH19)</f>
        <v>1927.9892260240849</v>
      </c>
      <c r="AI20" s="349">
        <f t="shared" si="56"/>
        <v>798.94965618388005</v>
      </c>
      <c r="AJ20" s="643">
        <f>SUM(AJ6:AJ19)</f>
        <v>0</v>
      </c>
      <c r="AK20" s="349"/>
      <c r="AL20" s="349"/>
      <c r="AM20" s="349"/>
      <c r="AN20" s="244"/>
      <c r="AO20" s="404"/>
      <c r="AP20" s="700"/>
      <c r="AQ20" s="700"/>
      <c r="AR20" s="700"/>
      <c r="AS20" s="700"/>
      <c r="AT20" s="700"/>
      <c r="AU20" s="700"/>
      <c r="AV20" s="700"/>
      <c r="AW20" s="641"/>
      <c r="AX20" s="479">
        <f t="shared" ref="AX20:AY20" si="57">SUM(AX6:AX19)</f>
        <v>230.19517514669423</v>
      </c>
      <c r="AY20" s="349">
        <f t="shared" si="57"/>
        <v>1114.5778336109934</v>
      </c>
      <c r="AZ20" s="643">
        <f>SUM(AZ6:AZ19)</f>
        <v>0</v>
      </c>
      <c r="BA20" s="349"/>
      <c r="BB20" s="349"/>
      <c r="BC20" s="349"/>
      <c r="BD20" s="244"/>
      <c r="BE20" s="404"/>
      <c r="BF20" s="700"/>
      <c r="BG20" s="700"/>
      <c r="BH20" s="700"/>
      <c r="BI20" s="700"/>
      <c r="BJ20" s="700"/>
      <c r="BK20" s="700"/>
      <c r="BL20" s="700"/>
      <c r="BM20" s="641"/>
      <c r="BN20" s="479">
        <f t="shared" ref="BN20:BO20" si="58">SUM(BN6:BN19)</f>
        <v>364.12691341386176</v>
      </c>
      <c r="BO20" s="349">
        <f t="shared" si="58"/>
        <v>2203.8243528217363</v>
      </c>
      <c r="BP20" s="349">
        <f t="shared" ref="BP20" si="59">SUM(BP6:BP19)</f>
        <v>0</v>
      </c>
      <c r="BQ20" s="349"/>
      <c r="BR20" s="349"/>
      <c r="BS20" s="349"/>
      <c r="BT20" s="244"/>
      <c r="BU20" s="404"/>
      <c r="BV20" s="700"/>
      <c r="BW20" s="700"/>
      <c r="BX20" s="700"/>
      <c r="BY20" s="700"/>
      <c r="BZ20" s="700"/>
      <c r="CA20" s="700"/>
      <c r="CB20" s="700"/>
      <c r="CC20" s="641"/>
      <c r="CD20" s="479">
        <f t="shared" ref="CD20:CE20" si="60">SUM(CD6:CD19)</f>
        <v>4520.1961665169047</v>
      </c>
      <c r="CE20" s="349">
        <f t="shared" si="60"/>
        <v>2026.5051520199879</v>
      </c>
      <c r="CF20" s="349">
        <f t="shared" ref="CF20" si="61">SUM(CF6:CF19)</f>
        <v>0</v>
      </c>
      <c r="CG20" s="349"/>
      <c r="CH20" s="349"/>
      <c r="CI20" s="349"/>
      <c r="CJ20" s="244"/>
      <c r="CK20" s="404"/>
      <c r="CL20" s="700"/>
      <c r="CM20" s="700"/>
      <c r="CN20" s="700"/>
      <c r="CO20" s="700"/>
      <c r="CP20" s="700"/>
      <c r="CQ20" s="700"/>
      <c r="CR20" s="700"/>
      <c r="CS20" s="641"/>
      <c r="CT20" s="915">
        <f t="shared" ref="CT20:CU20" si="62">SUM(CT6:CT19)</f>
        <v>0</v>
      </c>
      <c r="CU20" s="349">
        <f t="shared" si="62"/>
        <v>0</v>
      </c>
      <c r="CV20" s="349">
        <f t="shared" ref="CV20" si="63">SUM(CV6:CV19)</f>
        <v>0</v>
      </c>
      <c r="CW20" s="349"/>
      <c r="CX20" s="349"/>
      <c r="CY20" s="349"/>
      <c r="CZ20" s="244"/>
      <c r="DA20" s="404"/>
      <c r="DB20" s="700"/>
      <c r="DC20" s="700"/>
      <c r="DD20" s="700"/>
      <c r="DE20" s="700"/>
      <c r="DF20" s="700"/>
      <c r="DG20" s="700"/>
      <c r="DH20" s="700"/>
      <c r="DI20" s="641"/>
      <c r="DJ20" s="478"/>
      <c r="DK20" s="478"/>
      <c r="DL20" s="478"/>
    </row>
    <row r="21" spans="1:119" ht="16.5" thickBot="1">
      <c r="A21" s="475"/>
      <c r="B21" s="480"/>
      <c r="C21" s="481"/>
      <c r="D21" s="481"/>
      <c r="E21" s="481"/>
      <c r="F21" s="481"/>
      <c r="G21" s="481"/>
      <c r="H21" s="481"/>
      <c r="I21" s="485">
        <f>SUM(I6:I19)</f>
        <v>0</v>
      </c>
      <c r="J21" s="485">
        <f t="shared" ref="J21:Q21" si="64">SUM(J6:J19)</f>
        <v>0</v>
      </c>
      <c r="K21" s="485">
        <f t="shared" si="64"/>
        <v>0</v>
      </c>
      <c r="L21" s="485">
        <f t="shared" si="64"/>
        <v>0</v>
      </c>
      <c r="M21" s="485">
        <f t="shared" si="64"/>
        <v>0</v>
      </c>
      <c r="N21" s="485">
        <f t="shared" si="64"/>
        <v>0</v>
      </c>
      <c r="O21" s="485">
        <f t="shared" si="64"/>
        <v>0</v>
      </c>
      <c r="P21" s="485">
        <f t="shared" si="64"/>
        <v>0</v>
      </c>
      <c r="Q21" s="485">
        <f t="shared" si="64"/>
        <v>0</v>
      </c>
      <c r="R21" s="480"/>
      <c r="S21" s="481"/>
      <c r="T21" s="481"/>
      <c r="U21" s="481"/>
      <c r="V21" s="481"/>
      <c r="W21" s="481"/>
      <c r="X21" s="481"/>
      <c r="Y21" s="485">
        <f>SUM(Y6:Y19)</f>
        <v>2.1353912351270335E-2</v>
      </c>
      <c r="Z21" s="485">
        <f t="shared" ref="Z21:AE21" si="65">SUM(Z6:Z19)</f>
        <v>9.1904995556462022E-3</v>
      </c>
      <c r="AA21" s="485">
        <f t="shared" si="65"/>
        <v>0</v>
      </c>
      <c r="AB21" s="485">
        <f t="shared" si="65"/>
        <v>0</v>
      </c>
      <c r="AC21" s="485">
        <f t="shared" si="65"/>
        <v>0</v>
      </c>
      <c r="AD21" s="485">
        <f t="shared" si="65"/>
        <v>0</v>
      </c>
      <c r="AE21" s="485">
        <f t="shared" si="65"/>
        <v>2.1353912351270335E-2</v>
      </c>
      <c r="AF21" s="485">
        <f t="shared" ref="AF21:AG21" si="66">SUM(AF6:AF19)</f>
        <v>9.1904995556462022E-3</v>
      </c>
      <c r="AG21" s="485">
        <f t="shared" si="66"/>
        <v>0</v>
      </c>
      <c r="AH21" s="480"/>
      <c r="AI21" s="481"/>
      <c r="AJ21" s="481"/>
      <c r="AK21" s="481"/>
      <c r="AL21" s="481"/>
      <c r="AM21" s="481"/>
      <c r="AN21" s="481"/>
      <c r="AO21" s="485">
        <f>SUM(AO6:AO19)</f>
        <v>0.14281401674252481</v>
      </c>
      <c r="AP21" s="485">
        <f t="shared" ref="AP21:AV21" si="67">SUM(AP6:AP19)</f>
        <v>5.9181456013620751E-2</v>
      </c>
      <c r="AQ21" s="485">
        <f t="shared" si="67"/>
        <v>0</v>
      </c>
      <c r="AR21" s="485">
        <f t="shared" si="67"/>
        <v>0</v>
      </c>
      <c r="AS21" s="485">
        <f t="shared" si="67"/>
        <v>0</v>
      </c>
      <c r="AT21" s="485">
        <f t="shared" si="67"/>
        <v>0</v>
      </c>
      <c r="AU21" s="485">
        <f t="shared" si="67"/>
        <v>0.14281401674252481</v>
      </c>
      <c r="AV21" s="485">
        <f t="shared" si="67"/>
        <v>5.9181456013620751E-2</v>
      </c>
      <c r="AW21" s="485">
        <f t="shared" ref="AW21" si="68">SUM(AW6:AW19)</f>
        <v>0</v>
      </c>
      <c r="AX21" s="697"/>
      <c r="AY21" s="481"/>
      <c r="AZ21" s="481"/>
      <c r="BA21" s="481"/>
      <c r="BB21" s="481"/>
      <c r="BC21" s="481"/>
      <c r="BD21" s="481"/>
      <c r="BE21" s="485">
        <f>SUM(BE6:BE19)</f>
        <v>1.1626018946802739E-2</v>
      </c>
      <c r="BF21" s="485">
        <f t="shared" ref="BF21:BM21" si="69">SUM(BF6:BF19)</f>
        <v>5.6291809778332993E-2</v>
      </c>
      <c r="BG21" s="485">
        <f t="shared" si="69"/>
        <v>0</v>
      </c>
      <c r="BH21" s="485">
        <f t="shared" si="69"/>
        <v>0</v>
      </c>
      <c r="BI21" s="485">
        <f t="shared" si="69"/>
        <v>0</v>
      </c>
      <c r="BJ21" s="485">
        <f t="shared" si="69"/>
        <v>0</v>
      </c>
      <c r="BK21" s="485">
        <f t="shared" si="69"/>
        <v>1.1626018946802739E-2</v>
      </c>
      <c r="BL21" s="485">
        <f t="shared" si="69"/>
        <v>5.6291809778332993E-2</v>
      </c>
      <c r="BM21" s="485">
        <f t="shared" si="69"/>
        <v>0</v>
      </c>
      <c r="BN21" s="480"/>
      <c r="BO21" s="481"/>
      <c r="BP21" s="481"/>
      <c r="BQ21" s="481"/>
      <c r="BR21" s="481"/>
      <c r="BS21" s="481"/>
      <c r="BT21" s="481"/>
      <c r="BU21" s="485">
        <f>SUM(BU6:BU19)</f>
        <v>0.16940348593530008</v>
      </c>
      <c r="BV21" s="485">
        <f t="shared" ref="BV21:CC21" si="70">SUM(BV6:BV19)</f>
        <v>1.0252895735086209</v>
      </c>
      <c r="BW21" s="485">
        <f t="shared" si="70"/>
        <v>0</v>
      </c>
      <c r="BX21" s="485">
        <f t="shared" si="70"/>
        <v>3.2978605486221529E-2</v>
      </c>
      <c r="BY21" s="485">
        <f t="shared" si="70"/>
        <v>0.19959813794381492</v>
      </c>
      <c r="BZ21" s="485">
        <f t="shared" si="70"/>
        <v>0</v>
      </c>
      <c r="CA21" s="485">
        <f t="shared" si="70"/>
        <v>0.13642488044907855</v>
      </c>
      <c r="CB21" s="485">
        <f t="shared" si="70"/>
        <v>0.82569143556480595</v>
      </c>
      <c r="CC21" s="485">
        <f t="shared" si="70"/>
        <v>0</v>
      </c>
      <c r="CD21" s="480"/>
      <c r="CE21" s="481"/>
      <c r="CF21" s="481"/>
      <c r="CG21" s="481"/>
      <c r="CH21" s="481"/>
      <c r="CI21" s="481"/>
      <c r="CJ21" s="481"/>
      <c r="CK21" s="485">
        <f>SUM(CK6:CK19)</f>
        <v>0.34637518517370919</v>
      </c>
      <c r="CL21" s="485">
        <f t="shared" ref="CL21:CS21" si="71">SUM(CL6:CL19)</f>
        <v>0.15528775111264279</v>
      </c>
      <c r="CM21" s="485">
        <f t="shared" si="71"/>
        <v>0</v>
      </c>
      <c r="CN21" s="485">
        <f t="shared" si="71"/>
        <v>0</v>
      </c>
      <c r="CO21" s="485">
        <f t="shared" si="71"/>
        <v>0</v>
      </c>
      <c r="CP21" s="485">
        <f t="shared" si="71"/>
        <v>0</v>
      </c>
      <c r="CQ21" s="485">
        <f t="shared" si="71"/>
        <v>0.34637518517370919</v>
      </c>
      <c r="CR21" s="485">
        <f t="shared" si="71"/>
        <v>0.15528775111264279</v>
      </c>
      <c r="CS21" s="485">
        <f t="shared" si="71"/>
        <v>0</v>
      </c>
      <c r="CT21" s="480"/>
      <c r="CU21" s="481"/>
      <c r="CV21" s="481"/>
      <c r="CW21" s="481"/>
      <c r="CX21" s="481"/>
      <c r="CY21" s="481"/>
      <c r="CZ21" s="481"/>
      <c r="DA21" s="485">
        <f>SUM(DA6:DA19)</f>
        <v>0</v>
      </c>
      <c r="DB21" s="485">
        <f t="shared" ref="DB21:DI21" si="72">SUM(DB6:DB19)</f>
        <v>0</v>
      </c>
      <c r="DC21" s="485">
        <f t="shared" si="72"/>
        <v>0</v>
      </c>
      <c r="DD21" s="485">
        <f t="shared" si="72"/>
        <v>0</v>
      </c>
      <c r="DE21" s="485">
        <f t="shared" si="72"/>
        <v>0</v>
      </c>
      <c r="DF21" s="485">
        <f t="shared" si="72"/>
        <v>0</v>
      </c>
      <c r="DG21" s="485">
        <f t="shared" si="72"/>
        <v>0</v>
      </c>
      <c r="DH21" s="485">
        <f t="shared" si="72"/>
        <v>0</v>
      </c>
      <c r="DI21" s="485">
        <f t="shared" si="72"/>
        <v>0</v>
      </c>
      <c r="DJ21" s="485">
        <f t="shared" ref="DJ21:DK21" si="73">SUM(DJ6:DJ19)</f>
        <v>0.65859401366338566</v>
      </c>
      <c r="DK21" s="485">
        <f t="shared" si="73"/>
        <v>1.1056429520250486</v>
      </c>
      <c r="DL21" s="485">
        <f t="shared" ref="DL21" si="74">SUM(DL6:DL19)</f>
        <v>0</v>
      </c>
      <c r="DN21" s="701"/>
      <c r="DO21" s="701"/>
    </row>
    <row r="22" spans="1:119">
      <c r="A22" s="411"/>
      <c r="B22" s="410"/>
      <c r="C22" s="410"/>
      <c r="D22" s="410"/>
      <c r="E22" s="410"/>
      <c r="F22" s="410"/>
      <c r="G22" s="410"/>
      <c r="H22" s="410"/>
      <c r="I22" s="410"/>
      <c r="J22" s="410"/>
      <c r="K22" s="410"/>
      <c r="L22" s="410"/>
      <c r="M22" s="410"/>
      <c r="N22" s="410"/>
      <c r="O22" s="410"/>
      <c r="P22" s="410"/>
      <c r="Q22" s="410"/>
      <c r="R22" s="410"/>
      <c r="S22" s="410"/>
      <c r="T22" s="410"/>
      <c r="U22" s="410"/>
      <c r="V22" s="410"/>
      <c r="W22" s="410"/>
      <c r="X22" s="410"/>
      <c r="Y22" s="410"/>
      <c r="Z22" s="410"/>
      <c r="AA22" s="410"/>
      <c r="AB22" s="410"/>
      <c r="AC22" s="410"/>
      <c r="AD22" s="410"/>
      <c r="AE22" s="410"/>
      <c r="AF22" s="410"/>
      <c r="AG22" s="410"/>
      <c r="AH22" s="409"/>
      <c r="AI22" s="409"/>
      <c r="AJ22" s="409"/>
      <c r="AK22" s="409"/>
      <c r="AL22" s="409"/>
      <c r="AM22" s="409"/>
      <c r="AN22" s="410"/>
      <c r="AO22" s="410"/>
      <c r="AP22" s="410"/>
      <c r="AQ22" s="410"/>
      <c r="AR22" s="410"/>
      <c r="AS22" s="410"/>
      <c r="AT22" s="410"/>
      <c r="AU22" s="410"/>
      <c r="AV22" s="410"/>
      <c r="AW22" s="410"/>
      <c r="AX22" s="409"/>
      <c r="AY22" s="409"/>
      <c r="AZ22" s="409"/>
      <c r="BA22" s="409"/>
      <c r="BB22" s="409"/>
      <c r="BC22" s="409"/>
      <c r="BD22" s="409"/>
      <c r="BE22" s="410"/>
      <c r="BF22" s="410"/>
      <c r="BG22" s="410"/>
      <c r="BH22" s="410"/>
      <c r="BI22" s="410"/>
      <c r="BJ22" s="410"/>
      <c r="BK22" s="410"/>
      <c r="BL22" s="410"/>
      <c r="BM22" s="453"/>
      <c r="BN22" s="409"/>
      <c r="BO22" s="409"/>
      <c r="BP22" s="409"/>
      <c r="BQ22" s="409"/>
      <c r="BR22" s="409"/>
      <c r="BS22" s="409"/>
      <c r="BT22" s="409"/>
      <c r="BU22" s="410"/>
      <c r="BV22" s="410"/>
      <c r="BW22" s="410"/>
      <c r="BX22" s="410"/>
      <c r="BY22" s="410"/>
      <c r="BZ22" s="410"/>
      <c r="CA22" s="410"/>
      <c r="CB22" s="410"/>
      <c r="CC22" s="410"/>
      <c r="CD22" s="409"/>
      <c r="CE22" s="409"/>
      <c r="CF22" s="409"/>
      <c r="CG22" s="409"/>
      <c r="CH22" s="409"/>
      <c r="CI22" s="409"/>
      <c r="CJ22" s="409"/>
      <c r="CK22" s="410"/>
      <c r="CL22" s="410"/>
      <c r="CM22" s="410"/>
      <c r="CN22" s="410"/>
      <c r="CO22" s="410"/>
      <c r="CP22" s="410"/>
      <c r="CQ22" s="410"/>
      <c r="CR22" s="410"/>
      <c r="CS22" s="410"/>
      <c r="CT22" s="409"/>
      <c r="CU22" s="409"/>
      <c r="CV22" s="409"/>
      <c r="CW22" s="409"/>
      <c r="CX22" s="409"/>
      <c r="CY22" s="409"/>
      <c r="CZ22" s="409"/>
      <c r="DA22" s="409"/>
      <c r="DB22" s="409"/>
      <c r="DC22" s="409"/>
      <c r="DD22" s="410"/>
      <c r="DE22" s="410"/>
      <c r="DF22" s="410"/>
      <c r="DG22" s="410"/>
      <c r="DH22" s="410"/>
      <c r="DI22" s="410"/>
      <c r="DJ22" s="410"/>
      <c r="DK22" s="410"/>
    </row>
    <row r="23" spans="1:119">
      <c r="A23" s="406"/>
      <c r="B23" s="72"/>
      <c r="C23" s="72"/>
      <c r="D23" s="72"/>
      <c r="E23" s="407"/>
      <c r="F23" s="407"/>
      <c r="G23" s="407"/>
      <c r="H23" s="408"/>
      <c r="I23" s="408"/>
      <c r="J23" s="408"/>
      <c r="K23" s="408"/>
      <c r="L23" s="408"/>
      <c r="M23" s="408"/>
      <c r="N23" s="408"/>
      <c r="O23" s="408"/>
      <c r="P23" s="408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7"/>
      <c r="AB23" s="407"/>
      <c r="AC23" s="407"/>
      <c r="AD23" s="407"/>
      <c r="AE23" s="407"/>
      <c r="AF23" s="407"/>
      <c r="AG23" s="407"/>
      <c r="AH23" s="407"/>
      <c r="AI23" s="407"/>
      <c r="AJ23" s="407"/>
      <c r="AK23" s="407"/>
      <c r="AL23" s="407"/>
      <c r="AM23" s="407"/>
      <c r="AN23" s="408"/>
      <c r="AO23" s="408"/>
      <c r="AP23" s="408"/>
      <c r="AQ23" s="408"/>
      <c r="AR23" s="408"/>
      <c r="AS23" s="408"/>
      <c r="AT23" s="408"/>
      <c r="AU23" s="408"/>
      <c r="AV23" s="408"/>
      <c r="AW23" s="407"/>
      <c r="AX23" s="407"/>
      <c r="AY23" s="407"/>
      <c r="AZ23" s="407"/>
      <c r="BA23" s="407"/>
      <c r="BB23" s="407"/>
      <c r="BC23" s="407"/>
      <c r="BD23" s="407"/>
      <c r="BE23" s="407"/>
      <c r="BF23" s="407"/>
      <c r="BG23" s="407"/>
      <c r="BH23" s="407"/>
      <c r="BI23" s="407"/>
      <c r="BJ23" s="407"/>
      <c r="BK23" s="407"/>
      <c r="BL23" s="407"/>
      <c r="BM23" s="184"/>
      <c r="BN23" s="407"/>
      <c r="BO23" s="407"/>
      <c r="BP23" s="407"/>
      <c r="BQ23" s="407"/>
      <c r="BR23" s="407"/>
      <c r="BS23" s="407"/>
      <c r="BT23" s="407"/>
      <c r="BU23" s="407"/>
      <c r="BV23" s="407"/>
      <c r="BW23" s="407"/>
      <c r="BX23" s="407"/>
      <c r="BY23" s="407"/>
      <c r="BZ23" s="407"/>
      <c r="CA23" s="407"/>
      <c r="CB23" s="407"/>
      <c r="CC23" s="407"/>
      <c r="CD23" s="407"/>
      <c r="CE23" s="407"/>
      <c r="CF23" s="407"/>
      <c r="CG23" s="407"/>
      <c r="CH23" s="407"/>
      <c r="CI23" s="407"/>
      <c r="CJ23" s="407"/>
      <c r="CK23" s="407"/>
      <c r="CL23" s="407"/>
      <c r="CM23" s="407"/>
      <c r="CN23" s="407"/>
      <c r="CO23" s="407"/>
      <c r="CP23" s="407"/>
      <c r="CQ23" s="407"/>
      <c r="CR23" s="407"/>
      <c r="CS23" s="407"/>
      <c r="CT23" s="407"/>
      <c r="CU23" s="407"/>
      <c r="CV23" s="407"/>
      <c r="CW23" s="407"/>
      <c r="CX23" s="407"/>
      <c r="CY23" s="407"/>
      <c r="CZ23" s="407"/>
      <c r="DA23" s="407"/>
      <c r="DB23" s="407"/>
      <c r="DC23" s="407"/>
      <c r="DD23" s="407"/>
      <c r="DE23" s="407"/>
      <c r="DF23" s="407"/>
      <c r="DG23" s="407"/>
      <c r="DH23" s="407"/>
      <c r="DI23" s="407"/>
      <c r="DJ23" s="72"/>
      <c r="DK23" s="72"/>
    </row>
    <row r="24" spans="1:119">
      <c r="A24" s="406"/>
      <c r="B24" s="407"/>
      <c r="C24" s="407"/>
      <c r="D24" s="407"/>
      <c r="E24" s="407"/>
      <c r="F24" s="407"/>
      <c r="G24" s="407"/>
      <c r="H24" s="408"/>
      <c r="I24" s="408"/>
      <c r="J24" s="408"/>
      <c r="K24" s="408"/>
      <c r="L24" s="408"/>
      <c r="M24" s="408"/>
      <c r="N24" s="408"/>
      <c r="O24" s="408"/>
      <c r="P24" s="408"/>
      <c r="Q24" s="407"/>
      <c r="R24" s="407"/>
      <c r="S24" s="407"/>
      <c r="T24" s="407"/>
      <c r="U24" s="407"/>
      <c r="V24" s="407"/>
      <c r="W24" s="407"/>
      <c r="X24" s="407"/>
      <c r="Y24" s="407"/>
      <c r="Z24" s="407"/>
      <c r="AA24" s="407"/>
      <c r="AB24" s="407"/>
      <c r="AC24" s="407"/>
      <c r="AD24" s="407"/>
      <c r="AE24" s="407"/>
      <c r="AF24" s="407"/>
      <c r="AG24" s="407"/>
      <c r="AH24" s="407"/>
      <c r="AI24" s="407"/>
      <c r="AJ24" s="407"/>
      <c r="AK24" s="407"/>
      <c r="AL24" s="407"/>
      <c r="AM24" s="407"/>
      <c r="AN24" s="408"/>
      <c r="AO24" s="408"/>
      <c r="AP24" s="408"/>
      <c r="AQ24" s="408"/>
      <c r="AR24" s="408"/>
      <c r="AS24" s="408"/>
      <c r="AT24" s="408"/>
      <c r="AU24" s="408"/>
      <c r="AV24" s="408"/>
      <c r="AW24" s="407"/>
      <c r="AX24" s="407"/>
      <c r="AY24" s="407"/>
      <c r="AZ24" s="407"/>
      <c r="BA24" s="407"/>
      <c r="BB24" s="407"/>
      <c r="BC24" s="407"/>
      <c r="BD24" s="407"/>
      <c r="BE24" s="407"/>
      <c r="BF24" s="407"/>
      <c r="BG24" s="407"/>
      <c r="BH24" s="407"/>
      <c r="BI24" s="407"/>
      <c r="BJ24" s="407"/>
      <c r="BK24" s="407"/>
      <c r="BL24" s="407"/>
      <c r="BM24" s="184"/>
      <c r="BN24" s="407"/>
      <c r="BO24" s="407"/>
      <c r="BP24" s="407"/>
      <c r="BQ24" s="407"/>
      <c r="BR24" s="407"/>
      <c r="BS24" s="407"/>
      <c r="BT24" s="407"/>
      <c r="BU24" s="407"/>
      <c r="BV24" s="407"/>
      <c r="BW24" s="407"/>
      <c r="BX24" s="407"/>
      <c r="BY24" s="407"/>
      <c r="BZ24" s="407"/>
      <c r="CA24" s="407"/>
      <c r="CB24" s="407"/>
      <c r="CC24" s="407"/>
      <c r="CD24" s="407"/>
      <c r="CE24" s="407"/>
      <c r="CF24" s="407"/>
      <c r="CG24" s="407"/>
      <c r="CH24" s="407"/>
      <c r="CI24" s="407"/>
      <c r="CJ24" s="407"/>
      <c r="CK24" s="407"/>
      <c r="CL24" s="407"/>
      <c r="CM24" s="407"/>
      <c r="CN24" s="407"/>
      <c r="CO24" s="407"/>
      <c r="CP24" s="407"/>
      <c r="CQ24" s="407"/>
      <c r="CR24" s="407"/>
      <c r="CS24" s="407"/>
      <c r="CT24" s="407"/>
      <c r="CU24" s="407"/>
      <c r="CV24" s="407"/>
      <c r="CW24" s="407"/>
      <c r="CX24" s="407"/>
      <c r="CY24" s="407"/>
      <c r="CZ24" s="407"/>
      <c r="DA24" s="407"/>
      <c r="DB24" s="407"/>
      <c r="DC24" s="407"/>
      <c r="DD24" s="407"/>
      <c r="DE24" s="407"/>
      <c r="DF24" s="407"/>
      <c r="DG24" s="407"/>
      <c r="DH24" s="407"/>
      <c r="DI24" s="407"/>
      <c r="DJ24" s="72"/>
      <c r="DK24" s="72"/>
    </row>
    <row r="25" spans="1:119">
      <c r="A25" s="409"/>
      <c r="B25" s="410"/>
      <c r="C25" s="410"/>
      <c r="D25" s="410"/>
      <c r="E25" s="410"/>
      <c r="F25" s="410"/>
      <c r="G25" s="410"/>
      <c r="H25" s="410"/>
      <c r="I25" s="410"/>
      <c r="J25" s="410"/>
      <c r="K25" s="410"/>
      <c r="L25" s="410"/>
      <c r="M25" s="410"/>
      <c r="N25" s="410"/>
      <c r="O25" s="410"/>
      <c r="P25" s="410"/>
      <c r="Q25" s="410"/>
      <c r="R25" s="410"/>
      <c r="S25" s="657"/>
      <c r="T25" s="657"/>
      <c r="U25" s="657"/>
      <c r="V25" s="657"/>
      <c r="W25" s="410"/>
      <c r="X25" s="410"/>
      <c r="Y25" s="410"/>
      <c r="Z25" s="410"/>
      <c r="AA25" s="410"/>
      <c r="AB25" s="410"/>
      <c r="AC25" s="410"/>
      <c r="AD25" s="410"/>
      <c r="AE25" s="410"/>
      <c r="AF25" s="410"/>
      <c r="AG25" s="410"/>
      <c r="AH25" s="409"/>
      <c r="AI25" s="409"/>
      <c r="AJ25" s="409"/>
      <c r="AK25" s="409"/>
      <c r="AL25" s="409"/>
      <c r="AM25" s="409"/>
      <c r="AN25" s="410"/>
      <c r="AO25" s="410"/>
      <c r="AP25" s="410"/>
      <c r="AQ25" s="410"/>
      <c r="AR25" s="410"/>
      <c r="AS25" s="410"/>
      <c r="AT25" s="410"/>
      <c r="AU25" s="410"/>
      <c r="AV25" s="410"/>
      <c r="AW25" s="410"/>
      <c r="AX25" s="409"/>
      <c r="AY25" s="409"/>
      <c r="AZ25" s="409"/>
      <c r="BA25" s="409"/>
      <c r="BB25" s="409"/>
      <c r="BC25" s="409"/>
      <c r="BD25" s="409"/>
      <c r="BE25" s="410"/>
      <c r="BF25" s="410"/>
      <c r="BG25" s="410"/>
      <c r="BH25" s="410"/>
      <c r="BI25" s="410"/>
      <c r="BJ25" s="410"/>
      <c r="BK25" s="410"/>
      <c r="BL25" s="410"/>
      <c r="BM25" s="453"/>
      <c r="BN25" s="409"/>
      <c r="BO25" s="409"/>
      <c r="BP25" s="409"/>
      <c r="BQ25" s="409"/>
      <c r="BR25" s="409"/>
      <c r="BS25" s="409"/>
      <c r="BT25" s="409"/>
      <c r="BU25" s="410"/>
      <c r="BV25" s="410"/>
      <c r="BW25" s="410"/>
      <c r="BX25" s="410"/>
      <c r="BY25" s="410"/>
      <c r="BZ25" s="410"/>
      <c r="CA25" s="410"/>
      <c r="CB25" s="410"/>
      <c r="CC25" s="410"/>
      <c r="CD25" s="409"/>
      <c r="CE25" s="409"/>
      <c r="CF25" s="409"/>
      <c r="CG25" s="409"/>
      <c r="CH25" s="409"/>
      <c r="CI25" s="409"/>
      <c r="CJ25" s="409"/>
      <c r="CK25" s="410"/>
      <c r="CL25" s="410"/>
      <c r="CM25" s="410"/>
      <c r="CN25" s="410"/>
      <c r="CO25" s="410"/>
      <c r="CP25" s="410"/>
      <c r="CQ25" s="410"/>
      <c r="CR25" s="410"/>
      <c r="CS25" s="410"/>
      <c r="CT25" s="409"/>
      <c r="CU25" s="409"/>
      <c r="CV25" s="409"/>
      <c r="CW25" s="409"/>
      <c r="CX25" s="409"/>
      <c r="CY25" s="409"/>
      <c r="CZ25" s="409"/>
      <c r="DA25" s="409"/>
      <c r="DB25" s="409"/>
      <c r="DC25" s="409"/>
      <c r="DD25" s="410"/>
      <c r="DE25" s="410"/>
      <c r="DF25" s="410"/>
      <c r="DG25" s="410"/>
      <c r="DH25" s="410"/>
      <c r="DI25" s="410"/>
      <c r="DJ25" s="410"/>
      <c r="DK25" s="410"/>
    </row>
    <row r="26" spans="1:119">
      <c r="A26" s="406"/>
      <c r="B26" s="406"/>
      <c r="C26" s="406"/>
      <c r="D26" s="406"/>
      <c r="E26" s="406"/>
      <c r="F26" s="406"/>
      <c r="G26" s="406"/>
      <c r="H26" s="406"/>
      <c r="I26" s="406"/>
      <c r="J26" s="406"/>
      <c r="K26" s="406"/>
      <c r="L26" s="406"/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406"/>
      <c r="X26" s="406"/>
      <c r="Y26" s="406"/>
      <c r="Z26" s="406"/>
      <c r="AA26" s="406"/>
      <c r="AB26" s="406"/>
      <c r="AC26" s="406"/>
      <c r="AD26" s="406"/>
      <c r="AE26" s="406"/>
      <c r="AF26" s="406"/>
      <c r="AG26" s="406"/>
      <c r="AH26" s="406"/>
      <c r="AI26" s="406"/>
      <c r="AJ26" s="406"/>
      <c r="AK26" s="406"/>
      <c r="AL26" s="406"/>
      <c r="AM26" s="406"/>
      <c r="AN26" s="406"/>
      <c r="AO26" s="406"/>
      <c r="AP26" s="406"/>
      <c r="AQ26" s="406"/>
      <c r="AR26" s="406"/>
      <c r="AS26" s="406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144"/>
      <c r="BN26" s="406"/>
      <c r="BO26" s="406"/>
      <c r="BP26" s="406"/>
      <c r="BQ26" s="406"/>
      <c r="BR26" s="406"/>
      <c r="BS26" s="406"/>
      <c r="BT26" s="406"/>
      <c r="BU26" s="406"/>
      <c r="BV26" s="406"/>
      <c r="BW26" s="406"/>
      <c r="BX26" s="406"/>
      <c r="BY26" s="406"/>
      <c r="BZ26" s="406"/>
      <c r="CA26" s="406"/>
      <c r="CB26" s="406"/>
      <c r="CC26" s="406"/>
      <c r="CD26" s="406"/>
      <c r="CE26" s="406"/>
      <c r="CF26" s="406"/>
      <c r="CG26" s="406"/>
      <c r="CH26" s="406"/>
      <c r="CI26" s="406"/>
      <c r="CJ26" s="406"/>
      <c r="CK26" s="406"/>
      <c r="CL26" s="406"/>
      <c r="CM26" s="406"/>
      <c r="CN26" s="406"/>
      <c r="CO26" s="406"/>
      <c r="CP26" s="406"/>
      <c r="CQ26" s="406"/>
      <c r="CR26" s="406"/>
      <c r="CS26" s="406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</row>
    <row r="28" spans="1:119">
      <c r="AI28" s="13"/>
      <c r="AJ28" s="989"/>
    </row>
  </sheetData>
  <mergeCells count="8">
    <mergeCell ref="B4:Q4"/>
    <mergeCell ref="B3:DK3"/>
    <mergeCell ref="CT4:DI4"/>
    <mergeCell ref="CD4:CS4"/>
    <mergeCell ref="BN4:CC4"/>
    <mergeCell ref="AX4:BM4"/>
    <mergeCell ref="R4:AG4"/>
    <mergeCell ref="AH4:AW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293" customWidth="1"/>
    <col min="2" max="2" width="8.875" style="293"/>
    <col min="3" max="3" width="15" style="293" customWidth="1"/>
    <col min="4" max="4" width="8.875" style="293"/>
    <col min="5" max="5" width="9.875" style="293" customWidth="1"/>
    <col min="6" max="6" width="8.875" style="293"/>
    <col min="7" max="10" width="12.75" style="293" customWidth="1"/>
    <col min="11" max="11" width="19.25" style="293" customWidth="1"/>
    <col min="12" max="12" width="8.875" style="293"/>
    <col min="13" max="13" width="13.5" style="293" bestFit="1" customWidth="1"/>
    <col min="14" max="14" width="14.125" style="293" customWidth="1"/>
    <col min="15" max="15" width="15.875" style="293" bestFit="1" customWidth="1"/>
    <col min="16" max="16" width="12.5" style="293" bestFit="1" customWidth="1"/>
    <col min="17" max="17" width="24" style="293" bestFit="1" customWidth="1"/>
    <col min="18" max="19" width="25.625" style="293" bestFit="1" customWidth="1"/>
    <col min="20" max="16384" width="8.875" style="293"/>
  </cols>
  <sheetData>
    <row r="1" spans="1:19" ht="15.75" thickBot="1">
      <c r="A1" s="790" t="s">
        <v>1022</v>
      </c>
      <c r="B1" s="831" t="s">
        <v>1011</v>
      </c>
      <c r="C1" s="831"/>
      <c r="D1" s="831"/>
      <c r="E1" s="791"/>
      <c r="F1" s="791"/>
      <c r="G1" s="791"/>
      <c r="H1" s="791"/>
      <c r="I1" s="791"/>
      <c r="J1" s="792"/>
      <c r="K1" s="796" t="s">
        <v>1165</v>
      </c>
      <c r="L1" s="797"/>
      <c r="M1" s="791"/>
      <c r="N1" s="792"/>
    </row>
    <row r="2" spans="1:19" ht="60">
      <c r="A2" s="965"/>
      <c r="B2" s="966" t="s">
        <v>1566</v>
      </c>
      <c r="C2" s="966" t="s">
        <v>1567</v>
      </c>
      <c r="D2" s="967" t="s">
        <v>1345</v>
      </c>
      <c r="E2" s="1056" t="s">
        <v>1678</v>
      </c>
      <c r="F2" s="968"/>
      <c r="G2" s="968" t="s">
        <v>1568</v>
      </c>
      <c r="H2" s="969" t="s">
        <v>1022</v>
      </c>
      <c r="I2" s="968" t="s">
        <v>1021</v>
      </c>
      <c r="J2" s="970" t="s">
        <v>1571</v>
      </c>
      <c r="K2" s="971" t="s">
        <v>1570</v>
      </c>
      <c r="L2" s="970" t="s">
        <v>1572</v>
      </c>
      <c r="M2" s="968" t="s">
        <v>1021</v>
      </c>
      <c r="N2" s="970" t="s">
        <v>1571</v>
      </c>
    </row>
    <row r="3" spans="1:19">
      <c r="A3" s="1048" t="str">
        <f>INPUTS!C17</f>
        <v>Cows (improved)</v>
      </c>
      <c r="B3" s="972">
        <f>INPUTS!D17</f>
        <v>2</v>
      </c>
      <c r="C3" s="972">
        <f>INPUTS!F17</f>
        <v>0</v>
      </c>
      <c r="D3" s="1054">
        <f>B3*'Livestock parameters'!B2/250</f>
        <v>3.048</v>
      </c>
      <c r="E3" s="1057">
        <f>'Livestock parameters'!V2</f>
        <v>1.1666666666666667</v>
      </c>
      <c r="F3" s="973"/>
      <c r="G3" s="973">
        <f>B3*C3</f>
        <v>0</v>
      </c>
      <c r="H3" s="973">
        <f>G3*'Livestock parameters'!AB2</f>
        <v>0</v>
      </c>
      <c r="I3" s="974">
        <f>H3*'Livestock parameters'!Z2</f>
        <v>0</v>
      </c>
      <c r="J3" s="1049">
        <f>H3*'Livestock parameters'!AA2/100</f>
        <v>0</v>
      </c>
      <c r="K3" s="1059">
        <f>INPUTS!E17</f>
        <v>1525</v>
      </c>
      <c r="L3" s="1054">
        <f>INPUTS!E17*INPUTS!D17*(0.337+(0.116*'Livestock parameters'!X2)+(0.06*'Livestock parameters'!W2))</f>
        <v>3028.6500000000005</v>
      </c>
      <c r="M3" s="974">
        <f>L3*'Livestock parameters'!Y2</f>
        <v>2937790.5000000005</v>
      </c>
      <c r="N3" s="1049">
        <f>L3*'Livestock parameters'!W2/100</f>
        <v>96.916800000000023</v>
      </c>
    </row>
    <row r="4" spans="1:19">
      <c r="A4" s="1048" t="str">
        <f>INPUTS!C18</f>
        <v>Steers/heifers</v>
      </c>
      <c r="B4" s="972">
        <f>INPUTS!D18</f>
        <v>3</v>
      </c>
      <c r="C4" s="972">
        <f>INPUTS!F18</f>
        <v>156</v>
      </c>
      <c r="D4" s="1054">
        <f>B4*'Livestock parameters'!B3/250</f>
        <v>3.48</v>
      </c>
      <c r="E4" s="1057">
        <f>'Livestock parameters'!V3</f>
        <v>0</v>
      </c>
      <c r="F4" s="973"/>
      <c r="G4" s="973">
        <f t="shared" ref="G4:G10" si="0">B4*C4</f>
        <v>468</v>
      </c>
      <c r="H4" s="973">
        <f>G4*'Livestock parameters'!AB3</f>
        <v>271.44</v>
      </c>
      <c r="I4" s="974">
        <f>H4*'Livestock parameters'!Z3</f>
        <v>597168</v>
      </c>
      <c r="J4" s="1049">
        <f>H4*'Livestock parameters'!AA3/100</f>
        <v>70.574399999999997</v>
      </c>
      <c r="K4" s="1059">
        <f>INPUTS!E18</f>
        <v>0</v>
      </c>
      <c r="L4" s="1054">
        <f>INPUTS!E18*INPUTS!D18*(0.337+(0.116*'Livestock parameters'!X3)+(0.06*'Livestock parameters'!W3))</f>
        <v>0</v>
      </c>
      <c r="M4" s="974">
        <f>L4*'Livestock parameters'!Y3</f>
        <v>0</v>
      </c>
      <c r="N4" s="1049">
        <f>L4*'Livestock parameters'!W3/100</f>
        <v>0</v>
      </c>
    </row>
    <row r="5" spans="1:19">
      <c r="A5" s="1048">
        <f>INPUTS!C19</f>
        <v>0</v>
      </c>
      <c r="B5" s="972">
        <f>INPUTS!D19</f>
        <v>0</v>
      </c>
      <c r="C5" s="972">
        <f>INPUTS!F19</f>
        <v>0</v>
      </c>
      <c r="D5" s="1054">
        <f>B5*'Livestock parameters'!B4/250</f>
        <v>0</v>
      </c>
      <c r="E5" s="1057">
        <f>'Livestock parameters'!V4</f>
        <v>0</v>
      </c>
      <c r="F5" s="973"/>
      <c r="G5" s="973">
        <f t="shared" si="0"/>
        <v>0</v>
      </c>
      <c r="H5" s="973">
        <f>G5*'Livestock parameters'!AB4</f>
        <v>0</v>
      </c>
      <c r="I5" s="974">
        <f>H5*'Livestock parameters'!Z4</f>
        <v>0</v>
      </c>
      <c r="J5" s="1049">
        <f>H5*'Livestock parameters'!AA4/100</f>
        <v>0</v>
      </c>
      <c r="K5" s="1059">
        <f>INPUTS!E19</f>
        <v>0</v>
      </c>
      <c r="L5" s="1054">
        <f>INPUTS!E19*INPUTS!D19*(0.337+(0.116*'Livestock parameters'!X4)+(0.06*'Livestock parameters'!W4))</f>
        <v>0</v>
      </c>
      <c r="M5" s="974">
        <f>L5*'Livestock parameters'!Y4</f>
        <v>0</v>
      </c>
      <c r="N5" s="1049">
        <f>L5*'Livestock parameters'!W4/100</f>
        <v>0</v>
      </c>
    </row>
    <row r="6" spans="1:19">
      <c r="A6" s="1048">
        <f>INPUTS!C20</f>
        <v>0</v>
      </c>
      <c r="B6" s="972">
        <f>INPUTS!D20</f>
        <v>0</v>
      </c>
      <c r="C6" s="972">
        <f>INPUTS!F20</f>
        <v>0</v>
      </c>
      <c r="D6" s="1054">
        <f>B6*'Livestock parameters'!B5/250</f>
        <v>0</v>
      </c>
      <c r="E6" s="1057">
        <f>'Livestock parameters'!V5</f>
        <v>0</v>
      </c>
      <c r="F6" s="973"/>
      <c r="G6" s="973">
        <f t="shared" si="0"/>
        <v>0</v>
      </c>
      <c r="H6" s="973">
        <f>G6*'Livestock parameters'!AB5</f>
        <v>0</v>
      </c>
      <c r="I6" s="974">
        <f>H6*'Livestock parameters'!Z5</f>
        <v>0</v>
      </c>
      <c r="J6" s="1049">
        <f>H6*'Livestock parameters'!AA5/100</f>
        <v>0</v>
      </c>
      <c r="K6" s="1059">
        <f>INPUTS!E20</f>
        <v>0</v>
      </c>
      <c r="L6" s="1054">
        <f>INPUTS!E20*INPUTS!D20*(0.337+(0.116*'Livestock parameters'!X5)+(0.06*'Livestock parameters'!W5))</f>
        <v>0</v>
      </c>
      <c r="M6" s="974">
        <f>L6*'Livestock parameters'!Y5</f>
        <v>0</v>
      </c>
      <c r="N6" s="1049">
        <f>L6*'Livestock parameters'!W5/100</f>
        <v>0</v>
      </c>
    </row>
    <row r="7" spans="1:19">
      <c r="A7" s="1048">
        <f>INPUTS!C21</f>
        <v>0</v>
      </c>
      <c r="B7" s="972">
        <f>INPUTS!D21</f>
        <v>0</v>
      </c>
      <c r="C7" s="972">
        <f>INPUTS!F21</f>
        <v>0</v>
      </c>
      <c r="D7" s="1054">
        <f>B7*'Livestock parameters'!B6/250</f>
        <v>0</v>
      </c>
      <c r="E7" s="1057">
        <f>'Livestock parameters'!V6</f>
        <v>0</v>
      </c>
      <c r="F7" s="973"/>
      <c r="G7" s="973">
        <f t="shared" si="0"/>
        <v>0</v>
      </c>
      <c r="H7" s="973">
        <f>G7*'Livestock parameters'!AB6</f>
        <v>0</v>
      </c>
      <c r="I7" s="974">
        <f>H7*'Livestock parameters'!Z6</f>
        <v>0</v>
      </c>
      <c r="J7" s="1049">
        <f>H7*'Livestock parameters'!AA6/100</f>
        <v>0</v>
      </c>
      <c r="K7" s="1059">
        <f>INPUTS!E21</f>
        <v>0</v>
      </c>
      <c r="L7" s="1054">
        <f>INPUTS!E21*INPUTS!D21*(0.337+(0.116*'Livestock parameters'!X6)+(0.06*'Livestock parameters'!W6))</f>
        <v>0</v>
      </c>
      <c r="M7" s="974">
        <f>L7*'Livestock parameters'!Y6</f>
        <v>0</v>
      </c>
      <c r="N7" s="1049">
        <f>L7*'Livestock parameters'!W6/100</f>
        <v>0</v>
      </c>
      <c r="S7" s="293">
        <f>1/1.5</f>
        <v>0.66666666666666663</v>
      </c>
    </row>
    <row r="8" spans="1:19">
      <c r="A8" s="1048">
        <f>INPUTS!C22</f>
        <v>0</v>
      </c>
      <c r="B8" s="972">
        <f>INPUTS!D22</f>
        <v>0</v>
      </c>
      <c r="C8" s="972">
        <f>INPUTS!F22</f>
        <v>0</v>
      </c>
      <c r="D8" s="1054">
        <f>B8*'Livestock parameters'!B7/250</f>
        <v>0</v>
      </c>
      <c r="E8" s="1057">
        <f>'Livestock parameters'!V7</f>
        <v>0</v>
      </c>
      <c r="F8" s="973"/>
      <c r="G8" s="973">
        <f t="shared" si="0"/>
        <v>0</v>
      </c>
      <c r="H8" s="973">
        <f>G8*'Livestock parameters'!AB7</f>
        <v>0</v>
      </c>
      <c r="I8" s="974">
        <f>H8*'Livestock parameters'!Z7</f>
        <v>0</v>
      </c>
      <c r="J8" s="1049">
        <f>H8*'Livestock parameters'!AA7/100</f>
        <v>0</v>
      </c>
      <c r="K8" s="1059">
        <f>INPUTS!E22</f>
        <v>0</v>
      </c>
      <c r="L8" s="1054">
        <f>INPUTS!E22*INPUTS!D22*(0.337+(0.116*'Livestock parameters'!X7)+(0.06*'Livestock parameters'!W7))</f>
        <v>0</v>
      </c>
      <c r="M8" s="974">
        <f>L8*'Livestock parameters'!Y7</f>
        <v>0</v>
      </c>
      <c r="N8" s="1049">
        <f>L8*'Livestock parameters'!W7/100</f>
        <v>0</v>
      </c>
    </row>
    <row r="9" spans="1:19">
      <c r="A9" s="1048">
        <f>INPUTS!C23</f>
        <v>0</v>
      </c>
      <c r="B9" s="972">
        <f>INPUTS!D23</f>
        <v>0</v>
      </c>
      <c r="C9" s="972">
        <f>INPUTS!F23</f>
        <v>0</v>
      </c>
      <c r="D9" s="1054">
        <f>B9*'Livestock parameters'!B8/250</f>
        <v>0</v>
      </c>
      <c r="E9" s="1057">
        <f>'Livestock parameters'!V8</f>
        <v>0</v>
      </c>
      <c r="F9" s="973"/>
      <c r="G9" s="973">
        <f t="shared" si="0"/>
        <v>0</v>
      </c>
      <c r="H9" s="973">
        <f>G9*'Livestock parameters'!AB8</f>
        <v>0</v>
      </c>
      <c r="I9" s="974">
        <f>H9*'Livestock parameters'!Z8</f>
        <v>0</v>
      </c>
      <c r="J9" s="1049">
        <f>H9*'Livestock parameters'!AA8/100</f>
        <v>0</v>
      </c>
      <c r="K9" s="1059">
        <f>INPUTS!E23</f>
        <v>0</v>
      </c>
      <c r="L9" s="1054">
        <f>INPUTS!E23*INPUTS!D23*(0.337+(0.116*'Livestock parameters'!X8)+(0.06*'Livestock parameters'!W8))</f>
        <v>0</v>
      </c>
      <c r="M9" s="974">
        <f>L9*'Livestock parameters'!Y8</f>
        <v>0</v>
      </c>
      <c r="N9" s="1049">
        <f>L9*'Livestock parameters'!W8/100</f>
        <v>0</v>
      </c>
    </row>
    <row r="10" spans="1:19">
      <c r="A10" s="1048">
        <f>INPUTS!C24</f>
        <v>0</v>
      </c>
      <c r="B10" s="972">
        <f>INPUTS!D24</f>
        <v>0</v>
      </c>
      <c r="C10" s="972">
        <f>INPUTS!F24</f>
        <v>0</v>
      </c>
      <c r="D10" s="1054">
        <f>B10*'Livestock parameters'!B9/250</f>
        <v>0</v>
      </c>
      <c r="E10" s="1057">
        <f>'Livestock parameters'!V9</f>
        <v>0</v>
      </c>
      <c r="F10" s="973"/>
      <c r="G10" s="973">
        <f t="shared" si="0"/>
        <v>0</v>
      </c>
      <c r="H10" s="973">
        <f>G10*'Livestock parameters'!AB9</f>
        <v>0</v>
      </c>
      <c r="I10" s="974">
        <f>H10*'Livestock parameters'!Z9</f>
        <v>0</v>
      </c>
      <c r="J10" s="1049">
        <f>H10*'Livestock parameters'!AA9/100</f>
        <v>0</v>
      </c>
      <c r="K10" s="1059">
        <f>INPUTS!E24</f>
        <v>0</v>
      </c>
      <c r="L10" s="1054">
        <f>INPUTS!E24*INPUTS!D24*(0.337+(0.116*'Livestock parameters'!X9)+(0.06*'Livestock parameters'!W9))</f>
        <v>0</v>
      </c>
      <c r="M10" s="974">
        <f>L10*'Livestock parameters'!Y9</f>
        <v>0</v>
      </c>
      <c r="N10" s="1049">
        <f>L10*'Livestock parameters'!W9/100</f>
        <v>0</v>
      </c>
    </row>
    <row r="11" spans="1:19">
      <c r="A11" s="1048">
        <f>INPUTS!C25</f>
        <v>0</v>
      </c>
      <c r="B11" s="972">
        <f>INPUTS!D25</f>
        <v>0</v>
      </c>
      <c r="C11" s="972">
        <f>INPUTS!F25</f>
        <v>0</v>
      </c>
      <c r="D11" s="1054">
        <f>B11*'Livestock parameters'!B10/250</f>
        <v>0</v>
      </c>
      <c r="E11" s="1057">
        <f>'Livestock parameters'!V10</f>
        <v>0</v>
      </c>
      <c r="F11" s="973"/>
      <c r="G11" s="973">
        <f t="shared" ref="G11:G16" si="1">B11*C11</f>
        <v>0</v>
      </c>
      <c r="H11" s="973">
        <f>G11*'Livestock parameters'!AB10</f>
        <v>0</v>
      </c>
      <c r="I11" s="974">
        <f>H11*'Livestock parameters'!Z10</f>
        <v>0</v>
      </c>
      <c r="J11" s="1049">
        <f>H11*'Livestock parameters'!AA10/100</f>
        <v>0</v>
      </c>
      <c r="K11" s="1059">
        <f>INPUTS!E25</f>
        <v>0</v>
      </c>
      <c r="L11" s="1054">
        <f>INPUTS!E25*INPUTS!D25*(0.337+(0.116*'Livestock parameters'!X10)+(0.06*'Livestock parameters'!W10))</f>
        <v>0</v>
      </c>
      <c r="M11" s="974">
        <f>L11*'Livestock parameters'!Y10</f>
        <v>0</v>
      </c>
      <c r="N11" s="1049">
        <f>L11*'Livestock parameters'!W10/100</f>
        <v>0</v>
      </c>
    </row>
    <row r="12" spans="1:19">
      <c r="A12" s="1048">
        <f>INPUTS!C26</f>
        <v>0</v>
      </c>
      <c r="B12" s="972">
        <f>INPUTS!D26</f>
        <v>0</v>
      </c>
      <c r="C12" s="972">
        <f>INPUTS!F26</f>
        <v>0</v>
      </c>
      <c r="D12" s="1054">
        <f>B12*'Livestock parameters'!B11/250</f>
        <v>0</v>
      </c>
      <c r="E12" s="1057">
        <f>'Livestock parameters'!V11</f>
        <v>0</v>
      </c>
      <c r="F12" s="973"/>
      <c r="G12" s="973">
        <f t="shared" si="1"/>
        <v>0</v>
      </c>
      <c r="H12" s="973">
        <f>G12*'Livestock parameters'!AB11</f>
        <v>0</v>
      </c>
      <c r="I12" s="974">
        <f>H12*'Livestock parameters'!Z11</f>
        <v>0</v>
      </c>
      <c r="J12" s="1049">
        <f>H12*'Livestock parameters'!AA11/100</f>
        <v>0</v>
      </c>
      <c r="K12" s="1059">
        <f>INPUTS!E26</f>
        <v>0</v>
      </c>
      <c r="L12" s="1054">
        <f>INPUTS!E26*INPUTS!D26*(0.337+(0.116*'Livestock parameters'!X11)+(0.06*'Livestock parameters'!W11))</f>
        <v>0</v>
      </c>
      <c r="M12" s="974">
        <f>L12*'Livestock parameters'!Y11</f>
        <v>0</v>
      </c>
      <c r="N12" s="1049">
        <f>L12*'Livestock parameters'!W11/100</f>
        <v>0</v>
      </c>
    </row>
    <row r="13" spans="1:19">
      <c r="A13" s="1048">
        <f>INPUTS!C27</f>
        <v>0</v>
      </c>
      <c r="B13" s="972">
        <f>INPUTS!D27</f>
        <v>0</v>
      </c>
      <c r="C13" s="972">
        <f>INPUTS!F27</f>
        <v>0</v>
      </c>
      <c r="D13" s="1054">
        <f>B13*'Livestock parameters'!B12/250</f>
        <v>0</v>
      </c>
      <c r="E13" s="1057">
        <f>'Livestock parameters'!V12</f>
        <v>0</v>
      </c>
      <c r="F13" s="973"/>
      <c r="G13" s="973">
        <f t="shared" si="1"/>
        <v>0</v>
      </c>
      <c r="H13" s="973">
        <f>G13*'Livestock parameters'!AB12</f>
        <v>0</v>
      </c>
      <c r="I13" s="974">
        <f>H13*'Livestock parameters'!Z12</f>
        <v>0</v>
      </c>
      <c r="J13" s="1049">
        <f>H13*'Livestock parameters'!AA12/100</f>
        <v>0</v>
      </c>
      <c r="K13" s="1059">
        <f>INPUTS!E27</f>
        <v>0</v>
      </c>
      <c r="L13" s="1054">
        <f>INPUTS!E27*INPUTS!D27*(0.337+(0.116*'Livestock parameters'!X12)+(0.06*'Livestock parameters'!W12))</f>
        <v>0</v>
      </c>
      <c r="M13" s="974">
        <f>L13*'Livestock parameters'!Y12</f>
        <v>0</v>
      </c>
      <c r="N13" s="1049">
        <f>L13*'Livestock parameters'!W12/100</f>
        <v>0</v>
      </c>
    </row>
    <row r="14" spans="1:19">
      <c r="A14" s="1048">
        <f>INPUTS!C28</f>
        <v>0</v>
      </c>
      <c r="B14" s="972">
        <f>INPUTS!D28</f>
        <v>0</v>
      </c>
      <c r="C14" s="972">
        <f>INPUTS!F28</f>
        <v>0</v>
      </c>
      <c r="D14" s="1054">
        <f>B14*'Livestock parameters'!B13/250</f>
        <v>0</v>
      </c>
      <c r="E14" s="1057">
        <f>'Livestock parameters'!V13</f>
        <v>0</v>
      </c>
      <c r="F14" s="973"/>
      <c r="G14" s="973">
        <f t="shared" si="1"/>
        <v>0</v>
      </c>
      <c r="H14" s="973">
        <f>G14*'Livestock parameters'!AB13</f>
        <v>0</v>
      </c>
      <c r="I14" s="974">
        <f>H14*'Livestock parameters'!Z13</f>
        <v>0</v>
      </c>
      <c r="J14" s="1049">
        <f>H14*'Livestock parameters'!AA13/100</f>
        <v>0</v>
      </c>
      <c r="K14" s="1059">
        <f>INPUTS!E28</f>
        <v>0</v>
      </c>
      <c r="L14" s="1054">
        <f>INPUTS!E28*INPUTS!D28*(0.337+(0.116*'Livestock parameters'!X13)+(0.06*'Livestock parameters'!W13))</f>
        <v>0</v>
      </c>
      <c r="M14" s="974">
        <f>L14*'Livestock parameters'!Y13</f>
        <v>0</v>
      </c>
      <c r="N14" s="1049">
        <f>L14*'Livestock parameters'!W13/100</f>
        <v>0</v>
      </c>
    </row>
    <row r="15" spans="1:19">
      <c r="A15" s="1048">
        <f>INPUTS!C29</f>
        <v>0</v>
      </c>
      <c r="B15" s="972">
        <f>INPUTS!D29</f>
        <v>0</v>
      </c>
      <c r="C15" s="972">
        <f>INPUTS!F29</f>
        <v>0</v>
      </c>
      <c r="D15" s="1054">
        <f>B15*'Livestock parameters'!B14/250</f>
        <v>0</v>
      </c>
      <c r="E15" s="1057">
        <f>'Livestock parameters'!V14</f>
        <v>0</v>
      </c>
      <c r="F15" s="973"/>
      <c r="G15" s="973">
        <f t="shared" si="1"/>
        <v>0</v>
      </c>
      <c r="H15" s="973">
        <f>G15*'Livestock parameters'!AB14</f>
        <v>0</v>
      </c>
      <c r="I15" s="974">
        <f>H15*'Livestock parameters'!Z14</f>
        <v>0</v>
      </c>
      <c r="J15" s="1049">
        <f>H15*'Livestock parameters'!AA14/100</f>
        <v>0</v>
      </c>
      <c r="K15" s="1059">
        <f>INPUTS!E29</f>
        <v>0</v>
      </c>
      <c r="L15" s="1054">
        <f>INPUTS!E29*INPUTS!D29*(0.337+(0.116*'Livestock parameters'!X14)+(0.06*'Livestock parameters'!W14))</f>
        <v>0</v>
      </c>
      <c r="M15" s="974">
        <f>L15*'Livestock parameters'!Y14</f>
        <v>0</v>
      </c>
      <c r="N15" s="1049">
        <f>L15*'Livestock parameters'!W14/100</f>
        <v>0</v>
      </c>
    </row>
    <row r="16" spans="1:19">
      <c r="A16" s="1048">
        <f>INPUTS!C30</f>
        <v>0</v>
      </c>
      <c r="B16" s="972">
        <f>INPUTS!D30</f>
        <v>0</v>
      </c>
      <c r="C16" s="972">
        <f>INPUTS!F30</f>
        <v>0</v>
      </c>
      <c r="D16" s="1054">
        <f>B16*'Livestock parameters'!B15/250</f>
        <v>0</v>
      </c>
      <c r="E16" s="1057">
        <f>'Livestock parameters'!V15</f>
        <v>0</v>
      </c>
      <c r="F16" s="973"/>
      <c r="G16" s="973">
        <f t="shared" si="1"/>
        <v>0</v>
      </c>
      <c r="H16" s="973">
        <f>G16*'Livestock parameters'!AB15</f>
        <v>0</v>
      </c>
      <c r="I16" s="974">
        <f>H16*'Livestock parameters'!Z15</f>
        <v>0</v>
      </c>
      <c r="J16" s="1049">
        <f>H16*'Livestock parameters'!AA15/100</f>
        <v>0</v>
      </c>
      <c r="K16" s="1059">
        <f>INPUTS!E30</f>
        <v>0</v>
      </c>
      <c r="L16" s="1054">
        <f>INPUTS!E30*INPUTS!D30*(0.337+(0.116*'Livestock parameters'!X15)+(0.06*'Livestock parameters'!W15))</f>
        <v>0</v>
      </c>
      <c r="M16" s="974">
        <f>L16*'Livestock parameters'!Y15</f>
        <v>0</v>
      </c>
      <c r="N16" s="1049">
        <f>L16*'Livestock parameters'!W15/100</f>
        <v>0</v>
      </c>
    </row>
    <row r="17" spans="1:14" ht="18" customHeight="1" thickBot="1">
      <c r="A17" s="1050"/>
      <c r="B17" s="1051"/>
      <c r="C17" s="1051"/>
      <c r="D17" s="1055"/>
      <c r="E17" s="1058"/>
      <c r="F17" s="1051"/>
      <c r="G17" s="1051">
        <f>SUM(G3:G16)</f>
        <v>468</v>
      </c>
      <c r="H17" s="1051">
        <f>SUM(H3:H16)</f>
        <v>271.44</v>
      </c>
      <c r="I17" s="1052">
        <f>SUM(I3:I16)</f>
        <v>597168</v>
      </c>
      <c r="J17" s="1055">
        <f>SUM(J3:J16)</f>
        <v>70.574399999999997</v>
      </c>
      <c r="K17" s="1058"/>
      <c r="L17" s="1055">
        <f>SUM(L3:L16)</f>
        <v>3028.6500000000005</v>
      </c>
      <c r="M17" s="1052">
        <f>SUM(M3:M16)</f>
        <v>2937790.5000000005</v>
      </c>
      <c r="N17" s="1053">
        <f>SUM(N3:N16)</f>
        <v>96.916800000000023</v>
      </c>
    </row>
    <row r="18" spans="1:14" ht="18" customHeight="1">
      <c r="A18" s="294" t="s">
        <v>1016</v>
      </c>
    </row>
    <row r="19" spans="1:14" ht="105">
      <c r="A19" s="295" t="s">
        <v>1017</v>
      </c>
    </row>
    <row r="20" spans="1:14" ht="30">
      <c r="A20" s="295" t="s">
        <v>1012</v>
      </c>
    </row>
    <row r="21" spans="1:14">
      <c r="A21" s="789" t="s">
        <v>1569</v>
      </c>
    </row>
    <row r="22" spans="1:14">
      <c r="A22" s="296" t="s">
        <v>1013</v>
      </c>
    </row>
    <row r="23" spans="1:14" ht="120">
      <c r="A23" s="296" t="s">
        <v>1014</v>
      </c>
    </row>
    <row r="24" spans="1:14" ht="30">
      <c r="A24" s="296" t="s">
        <v>1015</v>
      </c>
    </row>
    <row r="25" spans="1:14" ht="18" customHeight="1">
      <c r="A25" s="296"/>
    </row>
    <row r="26" spans="1:14" ht="18" customHeight="1">
      <c r="A26" s="807" t="s">
        <v>1575</v>
      </c>
      <c r="B26" s="799"/>
      <c r="C26" s="799"/>
    </row>
    <row r="27" spans="1:14" ht="18" customHeight="1">
      <c r="A27" s="800" t="s">
        <v>1576</v>
      </c>
      <c r="B27" s="801"/>
      <c r="C27" s="801"/>
    </row>
    <row r="28" spans="1:14">
      <c r="A28" s="795" t="s">
        <v>1573</v>
      </c>
      <c r="B28" s="293">
        <f>I17</f>
        <v>597168</v>
      </c>
      <c r="K28" s="655"/>
    </row>
    <row r="29" spans="1:14">
      <c r="A29" s="703" t="s">
        <v>1437</v>
      </c>
      <c r="B29" s="793">
        <f>H17</f>
        <v>271.44</v>
      </c>
      <c r="K29" s="647"/>
    </row>
    <row r="30" spans="1:14">
      <c r="A30" s="795" t="s">
        <v>1317</v>
      </c>
      <c r="B30" s="293">
        <f>J17</f>
        <v>70.574399999999997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802" t="s">
        <v>1165</v>
      </c>
      <c r="B32" s="1611"/>
      <c r="C32" s="1611"/>
      <c r="D32" s="803"/>
      <c r="E32" s="804"/>
      <c r="F32" s="804"/>
      <c r="G32" s="804"/>
      <c r="H32" s="804"/>
      <c r="I32" s="804"/>
      <c r="J32" s="804"/>
      <c r="K32" s="804"/>
    </row>
    <row r="33" spans="1:12" ht="15.75">
      <c r="A33" s="351" t="s">
        <v>1025</v>
      </c>
      <c r="B33" s="798">
        <f>L17</f>
        <v>3028.6500000000005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795" t="s">
        <v>1574</v>
      </c>
      <c r="B35">
        <f>M17</f>
        <v>2937790.5000000005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1317</v>
      </c>
      <c r="B36">
        <f>N17</f>
        <v>96.916800000000023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805" t="s">
        <v>1316</v>
      </c>
      <c r="B38" s="806">
        <f>J17+N17</f>
        <v>167.49120000000002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637"/>
      <c r="B41" s="793"/>
      <c r="C41" s="793"/>
      <c r="E41" s="794"/>
      <c r="F41" s="794"/>
      <c r="K41" s="793"/>
    </row>
    <row r="42" spans="1:12">
      <c r="A42" s="637"/>
      <c r="B42" s="793"/>
      <c r="C42" s="793"/>
      <c r="E42" s="794"/>
      <c r="F42" s="794"/>
      <c r="K42" s="793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7"/>
  <sheetViews>
    <sheetView workbookViewId="0">
      <selection activeCell="D8" sqref="D8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441" customFormat="1" ht="29.25" customHeight="1">
      <c r="A1" s="442" t="s">
        <v>1184</v>
      </c>
      <c r="B1" s="442"/>
    </row>
    <row r="3" spans="1:13" s="322" customFormat="1">
      <c r="A3" s="42" t="s">
        <v>1259</v>
      </c>
    </row>
    <row r="4" spans="1:13">
      <c r="A4" t="s">
        <v>1206</v>
      </c>
    </row>
    <row r="5" spans="1:13">
      <c r="A5" s="579" t="s">
        <v>1236</v>
      </c>
      <c r="I5" s="571"/>
    </row>
    <row r="7" spans="1:13" ht="31.5">
      <c r="A7" s="17" t="s">
        <v>1207</v>
      </c>
      <c r="B7" s="17" t="s">
        <v>1203</v>
      </c>
      <c r="C7" s="17" t="s">
        <v>1311</v>
      </c>
      <c r="D7" s="533" t="s">
        <v>1310</v>
      </c>
      <c r="E7" s="17" t="s">
        <v>1208</v>
      </c>
      <c r="F7" s="535" t="s">
        <v>1209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530">
        <f>Feed!F161+Feed!F162+Feed!F163+Feed!F164+Feed!F165+Feed!F166+Feed!F167</f>
        <v>5846.3799752288633</v>
      </c>
      <c r="D8" s="534">
        <f>SUM(Feed!Q161:Q167)</f>
        <v>2802.9915687963289</v>
      </c>
      <c r="E8" s="556">
        <f>C8*B8</f>
        <v>33.909003856327402</v>
      </c>
      <c r="F8" s="555">
        <f>D8*B8</f>
        <v>16.257351099018706</v>
      </c>
      <c r="J8" s="572"/>
      <c r="K8" s="572"/>
      <c r="L8" s="538"/>
      <c r="M8" s="538"/>
    </row>
    <row r="9" spans="1:13">
      <c r="A9" s="13" t="str">
        <f>Economics_Parameters!B5</f>
        <v>Sheep Manure</v>
      </c>
      <c r="B9" s="13">
        <f>Economics_Parameters!C5</f>
        <v>0</v>
      </c>
      <c r="C9" s="530">
        <f>Feed!F168</f>
        <v>0</v>
      </c>
      <c r="D9" s="534">
        <f>Feed!Q168</f>
        <v>0</v>
      </c>
      <c r="E9" s="532">
        <f t="shared" ref="E9:E15" si="0">C9*B9</f>
        <v>0</v>
      </c>
      <c r="F9" s="536">
        <f t="shared" ref="F9:F10" si="1">D9*B9</f>
        <v>0</v>
      </c>
      <c r="J9" s="520"/>
      <c r="L9" s="538"/>
    </row>
    <row r="10" spans="1:13">
      <c r="A10" s="13" t="str">
        <f>Economics_Parameters!B6</f>
        <v>Goat Manure</v>
      </c>
      <c r="B10" s="13">
        <f>Economics_Parameters!C6</f>
        <v>0</v>
      </c>
      <c r="C10" s="530">
        <f>Feed!F169</f>
        <v>0</v>
      </c>
      <c r="D10" s="534">
        <f>Feed!Q169</f>
        <v>0</v>
      </c>
      <c r="E10" s="532">
        <f t="shared" si="0"/>
        <v>0</v>
      </c>
      <c r="F10" s="536">
        <f t="shared" si="1"/>
        <v>0</v>
      </c>
      <c r="J10" s="520"/>
      <c r="L10" s="538"/>
    </row>
    <row r="11" spans="1:13">
      <c r="A11" s="13" t="str">
        <f>Economics_Parameters!B7</f>
        <v>Beef</v>
      </c>
      <c r="B11" s="13">
        <f>Economics_Parameters!C7</f>
        <v>3</v>
      </c>
      <c r="C11" s="531">
        <f>'Meat &amp; Milk '!B29</f>
        <v>271.44</v>
      </c>
      <c r="E11" s="532">
        <f>C11*B11</f>
        <v>814.31999999999994</v>
      </c>
    </row>
    <row r="12" spans="1:13">
      <c r="A12" s="13" t="str">
        <f>Economics_Parameters!B8</f>
        <v>Goat Meat</v>
      </c>
      <c r="B12" s="13">
        <f>Economics_Parameters!C8</f>
        <v>0</v>
      </c>
      <c r="C12" s="531">
        <f>'Meat &amp; Milk '!G3</f>
        <v>0</v>
      </c>
      <c r="E12" s="532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531">
        <v>0</v>
      </c>
      <c r="E13" s="532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0.35</v>
      </c>
      <c r="C14" s="531">
        <f>'Meat &amp; Milk '!B33</f>
        <v>3028.6500000000005</v>
      </c>
      <c r="E14" s="532">
        <f t="shared" si="0"/>
        <v>1060.0275000000001</v>
      </c>
      <c r="J14" s="528"/>
      <c r="K14" s="528"/>
      <c r="L14" s="542"/>
      <c r="M14" s="542"/>
    </row>
    <row r="15" spans="1:13">
      <c r="A15" s="13" t="str">
        <f>Economics_Parameters!B11</f>
        <v>Goat/sheep Milk</v>
      </c>
      <c r="B15" s="13">
        <f>Economics_Parameters!C11</f>
        <v>0</v>
      </c>
      <c r="C15" s="531"/>
      <c r="E15" s="532">
        <f t="shared" si="0"/>
        <v>0</v>
      </c>
      <c r="J15" s="528"/>
      <c r="K15" s="528"/>
      <c r="L15" s="542"/>
      <c r="M15" s="542"/>
    </row>
    <row r="16" spans="1:13">
      <c r="J16" s="528"/>
      <c r="K16" s="528"/>
      <c r="L16" s="542"/>
      <c r="M16" s="542"/>
    </row>
    <row r="17" spans="1:14">
      <c r="J17" s="528"/>
      <c r="K17" s="528"/>
      <c r="L17" s="542"/>
      <c r="M17" s="542"/>
    </row>
    <row r="18" spans="1:14">
      <c r="A18" s="158" t="s">
        <v>1210</v>
      </c>
      <c r="B18" s="158"/>
      <c r="C18" s="158"/>
      <c r="D18" s="158"/>
      <c r="E18" s="529">
        <f>SUM(E8:E15)</f>
        <v>1908.2565038563275</v>
      </c>
      <c r="F18" s="529">
        <f>SUM(F8:F10)+SUM(E11:E15)</f>
        <v>1890.6048510990188</v>
      </c>
      <c r="J18" s="528"/>
      <c r="K18" s="528"/>
      <c r="L18" s="542"/>
      <c r="M18" s="542"/>
    </row>
    <row r="19" spans="1:14" s="37" customFormat="1">
      <c r="E19" s="848" t="e">
        <f ca="1">E18-INDIRECT(CONCATENATE("'[","Baseline.xlsm","]Economics_Payback '","!E18"))</f>
        <v>#REF!</v>
      </c>
      <c r="F19" s="590"/>
      <c r="J19" s="569"/>
      <c r="K19" s="569"/>
      <c r="L19" s="583"/>
      <c r="M19" s="583"/>
    </row>
    <row r="20" spans="1:14">
      <c r="J20" s="528"/>
      <c r="K20" s="528"/>
      <c r="L20" s="542"/>
      <c r="M20" s="542"/>
    </row>
    <row r="21" spans="1:14" s="322" customFormat="1">
      <c r="A21" s="322" t="s">
        <v>1260</v>
      </c>
      <c r="M21" s="578"/>
    </row>
    <row r="23" spans="1:14">
      <c r="A23" s="540" t="s">
        <v>1655</v>
      </c>
      <c r="B23" s="540" t="s">
        <v>1485</v>
      </c>
      <c r="C23" s="540" t="s">
        <v>1486</v>
      </c>
      <c r="D23" s="540"/>
      <c r="E23" s="540"/>
      <c r="F23" s="158" t="s">
        <v>1487</v>
      </c>
    </row>
    <row r="24" spans="1:14">
      <c r="A24" s="72" t="str">
        <f>INPUTS!C17</f>
        <v>Cows (improved)</v>
      </c>
      <c r="B24" s="844" t="e">
        <f ca="1">INPUTS!C140*(INPUTS!D140+INPUTS!F140*Economics_Parameters!$C$12)</f>
        <v>#REF!</v>
      </c>
      <c r="C24" s="844" t="e">
        <f ca="1">INPUTS!C122*(INPUTS!D122+INPUTS!E122*Economics_Parameters!$C$12)+INPUTS!C140*(INPUTS!E140+INPUTS!G140*Economics_Parameters!$C$12)</f>
        <v>#REF!</v>
      </c>
      <c r="D24" s="543"/>
      <c r="E24" s="543"/>
      <c r="F24" s="543" t="e">
        <f ca="1">SUM(B24+C24+E24)</f>
        <v>#REF!</v>
      </c>
      <c r="J24" s="39"/>
      <c r="K24" s="570"/>
      <c r="L24" s="528"/>
      <c r="M24" s="528"/>
      <c r="N24" s="538"/>
    </row>
    <row r="25" spans="1:14">
      <c r="A25" s="72" t="str">
        <f>INPUTS!C18</f>
        <v>Steers/heifers</v>
      </c>
      <c r="B25" s="844" t="e">
        <f ca="1">INPUTS!C141*(INPUTS!D141+INPUTS!F141*Economics_Parameters!$C$12)</f>
        <v>#REF!</v>
      </c>
      <c r="C25" s="844" t="e">
        <f ca="1">INPUTS!C123*(INPUTS!D123+INPUTS!E123*Economics_Parameters!$C$12)+INPUTS!C141*(INPUTS!E141+INPUTS!G141*Economics_Parameters!$C$12)</f>
        <v>#REF!</v>
      </c>
      <c r="D25" s="543"/>
      <c r="E25" s="543"/>
      <c r="F25" s="543" t="e">
        <f t="shared" ref="F25:F37" ca="1" si="2">SUM(B25+C25+E25)</f>
        <v>#REF!</v>
      </c>
      <c r="J25" s="39"/>
      <c r="K25" s="570"/>
      <c r="L25" s="528"/>
      <c r="M25" s="528"/>
      <c r="N25" s="538"/>
    </row>
    <row r="26" spans="1:14">
      <c r="A26" s="72">
        <f>INPUTS!C19</f>
        <v>0</v>
      </c>
      <c r="B26" s="844" t="e">
        <f ca="1">INPUTS!C142*(INPUTS!D142+INPUTS!F142*Economics_Parameters!$C$12)</f>
        <v>#REF!</v>
      </c>
      <c r="C26" s="844" t="e">
        <f ca="1">INPUTS!C124*(INPUTS!D124+INPUTS!E124*Economics_Parameters!$C$12)+INPUTS!C142*(INPUTS!E142+INPUTS!G142*Economics_Parameters!$C$12)</f>
        <v>#REF!</v>
      </c>
      <c r="D26" s="543"/>
      <c r="E26" s="543"/>
      <c r="F26" s="543" t="e">
        <f t="shared" ca="1" si="2"/>
        <v>#REF!</v>
      </c>
      <c r="J26" s="39"/>
      <c r="K26" s="570"/>
      <c r="L26" s="528"/>
      <c r="M26" s="528"/>
      <c r="N26" s="538"/>
    </row>
    <row r="27" spans="1:14">
      <c r="A27" s="72">
        <f>INPUTS!C20</f>
        <v>0</v>
      </c>
      <c r="B27" s="844" t="e">
        <f ca="1">INPUTS!C143*(INPUTS!D143+INPUTS!F143*Economics_Parameters!$C$12)</f>
        <v>#REF!</v>
      </c>
      <c r="C27" s="844" t="e">
        <f ca="1">INPUTS!C125*(INPUTS!D125+INPUTS!E125*Economics_Parameters!$C$12)+INPUTS!C143*(INPUTS!E143+INPUTS!G143*Economics_Parameters!$C$12)</f>
        <v>#REF!</v>
      </c>
      <c r="D27" s="543"/>
      <c r="E27" s="543"/>
      <c r="F27" s="543" t="e">
        <f t="shared" ca="1" si="2"/>
        <v>#REF!</v>
      </c>
      <c r="J27" s="39"/>
      <c r="K27" s="570"/>
      <c r="L27" s="528"/>
      <c r="M27" s="528"/>
      <c r="N27" s="538"/>
    </row>
    <row r="28" spans="1:14">
      <c r="A28" s="72">
        <f>INPUTS!C21</f>
        <v>0</v>
      </c>
      <c r="B28" s="844" t="e">
        <f ca="1">INPUTS!C144*(INPUTS!D144+INPUTS!F144*Economics_Parameters!$C$12)</f>
        <v>#REF!</v>
      </c>
      <c r="C28" s="844" t="e">
        <f ca="1">INPUTS!C126*(INPUTS!D126+INPUTS!E126*Economics_Parameters!$C$12)+INPUTS!C144*(INPUTS!E144+INPUTS!G144*Economics_Parameters!$C$12)</f>
        <v>#REF!</v>
      </c>
      <c r="D28" s="543"/>
      <c r="E28" s="543"/>
      <c r="F28" s="543" t="e">
        <f t="shared" ca="1" si="2"/>
        <v>#REF!</v>
      </c>
      <c r="J28" s="39"/>
      <c r="K28" s="570"/>
      <c r="L28" s="528"/>
      <c r="M28" s="528"/>
      <c r="N28" s="538"/>
    </row>
    <row r="29" spans="1:14">
      <c r="A29" s="72">
        <f>INPUTS!C22</f>
        <v>0</v>
      </c>
      <c r="B29" s="844" t="e">
        <f ca="1">INPUTS!C145*(INPUTS!D145+INPUTS!F145*Economics_Parameters!$C$12)</f>
        <v>#REF!</v>
      </c>
      <c r="C29" s="844" t="e">
        <f ca="1">INPUTS!C127*(INPUTS!D127+INPUTS!E127*Economics_Parameters!$C$12)+INPUTS!C145*(INPUTS!E145+INPUTS!G145*Economics_Parameters!$C$12)</f>
        <v>#REF!</v>
      </c>
      <c r="D29" s="543"/>
      <c r="E29" s="543"/>
      <c r="F29" s="543" t="e">
        <f t="shared" ca="1" si="2"/>
        <v>#REF!</v>
      </c>
      <c r="J29" s="39"/>
      <c r="K29" s="570"/>
      <c r="L29" s="528"/>
      <c r="M29" s="528"/>
      <c r="N29" s="538"/>
    </row>
    <row r="30" spans="1:14">
      <c r="A30" s="72">
        <f>INPUTS!C23</f>
        <v>0</v>
      </c>
      <c r="B30" s="844" t="e">
        <f ca="1">INPUTS!C146*(INPUTS!D146+INPUTS!F146*Economics_Parameters!$C$12)</f>
        <v>#REF!</v>
      </c>
      <c r="C30" s="844" t="e">
        <f ca="1">INPUTS!C128*(INPUTS!D128+INPUTS!E128*Economics_Parameters!$C$12)+INPUTS!C146*(INPUTS!E146+INPUTS!G146*Economics_Parameters!$C$12)</f>
        <v>#REF!</v>
      </c>
      <c r="D30" s="543"/>
      <c r="E30" s="543"/>
      <c r="F30" s="543" t="e">
        <f t="shared" ca="1" si="2"/>
        <v>#REF!</v>
      </c>
      <c r="J30" s="39"/>
      <c r="K30" s="570"/>
      <c r="L30" s="528"/>
      <c r="M30" s="528"/>
      <c r="N30" s="538"/>
    </row>
    <row r="31" spans="1:14">
      <c r="A31" s="72">
        <f>INPUTS!C24</f>
        <v>0</v>
      </c>
      <c r="B31" s="844" t="e">
        <f ca="1">INPUTS!C149*(INPUTS!D149+INPUTS!F149*Economics_Parameters!$C$12)</f>
        <v>#REF!</v>
      </c>
      <c r="C31" s="844" t="e">
        <f ca="1">INPUTS!C131*(INPUTS!D131+INPUTS!E131*Economics_Parameters!$C$12)+INPUTS!C149*(INPUTS!E149+INPUTS!G149*Economics_Parameters!$C$12)</f>
        <v>#REF!</v>
      </c>
      <c r="D31" s="543"/>
      <c r="E31" s="543"/>
      <c r="F31" s="543" t="e">
        <f t="shared" ca="1" si="2"/>
        <v>#REF!</v>
      </c>
      <c r="J31" s="39"/>
      <c r="K31" s="570"/>
      <c r="L31" s="528"/>
      <c r="M31" s="528"/>
      <c r="N31" s="538"/>
    </row>
    <row r="32" spans="1:14">
      <c r="A32" s="72">
        <f>INPUTS!C25</f>
        <v>0</v>
      </c>
      <c r="B32" s="844" t="e">
        <f ca="1">INPUTS!C150*(INPUTS!D150+INPUTS!F150*Economics_Parameters!$C$12)</f>
        <v>#REF!</v>
      </c>
      <c r="C32" s="844" t="e">
        <f ca="1">INPUTS!C132*(INPUTS!D132+INPUTS!E132*Economics_Parameters!$C$12)+INPUTS!C150*(INPUTS!E150+INPUTS!G150*Economics_Parameters!$C$12)</f>
        <v>#REF!</v>
      </c>
      <c r="D32" s="543"/>
      <c r="E32" s="543"/>
      <c r="F32" s="543" t="e">
        <f t="shared" ca="1" si="2"/>
        <v>#REF!</v>
      </c>
      <c r="J32" s="39"/>
      <c r="K32" s="570"/>
      <c r="L32" s="528"/>
      <c r="M32" s="528"/>
      <c r="N32" s="538"/>
    </row>
    <row r="33" spans="1:14" s="962" customFormat="1">
      <c r="A33" s="72" t="e">
        <f>INPUTS!#REF!</f>
        <v>#REF!</v>
      </c>
      <c r="B33" s="844" t="e">
        <f ca="1">INPUTS!C151*(INPUTS!D151+INPUTS!F151*Economics_Parameters!$C$12)</f>
        <v>#REF!</v>
      </c>
      <c r="C33" s="844" t="e">
        <f ca="1">INPUTS!C133*(INPUTS!D133+INPUTS!E133*Economics_Parameters!$C$12)+INPUTS!C151*(INPUTS!E151+INPUTS!G151*Economics_Parameters!$C$12)</f>
        <v>#REF!</v>
      </c>
      <c r="D33" s="543"/>
      <c r="E33" s="543"/>
      <c r="F33" s="543" t="e">
        <f t="shared" ca="1" si="2"/>
        <v>#REF!</v>
      </c>
      <c r="J33" s="39"/>
      <c r="K33" s="570"/>
      <c r="L33" s="528"/>
      <c r="M33" s="528"/>
      <c r="N33" s="538"/>
    </row>
    <row r="34" spans="1:14" s="962" customFormat="1">
      <c r="A34" s="72" t="e">
        <f>INPUTS!#REF!</f>
        <v>#REF!</v>
      </c>
      <c r="B34" s="844" t="e">
        <f ca="1">INPUTS!C152*(INPUTS!D152+INPUTS!F152*Economics_Parameters!$C$12)</f>
        <v>#REF!</v>
      </c>
      <c r="C34" s="844" t="e">
        <f ca="1">INPUTS!C134*(INPUTS!D134+INPUTS!E134*Economics_Parameters!$C$12)+INPUTS!C152*(INPUTS!E152+INPUTS!G152*Economics_Parameters!$C$12)</f>
        <v>#REF!</v>
      </c>
      <c r="D34" s="543"/>
      <c r="E34" s="543"/>
      <c r="F34" s="543" t="e">
        <f t="shared" ca="1" si="2"/>
        <v>#REF!</v>
      </c>
      <c r="J34" s="39"/>
      <c r="K34" s="570"/>
      <c r="L34" s="528"/>
      <c r="M34" s="528"/>
      <c r="N34" s="538"/>
    </row>
    <row r="35" spans="1:14">
      <c r="A35" s="72" t="e">
        <f>INPUTS!#REF!</f>
        <v>#REF!</v>
      </c>
      <c r="B35" s="844" t="e">
        <f ca="1">INPUTS!C151*(INPUTS!D151+INPUTS!F151*Economics_Parameters!$C$12)</f>
        <v>#REF!</v>
      </c>
      <c r="C35" s="844" t="e">
        <f ca="1">INPUTS!C133*(INPUTS!D133+INPUTS!E133*Economics_Parameters!$C$12)+INPUTS!C151*(INPUTS!E151+INPUTS!G151*Economics_Parameters!$C$12)</f>
        <v>#REF!</v>
      </c>
      <c r="D35" s="543"/>
      <c r="E35" s="543"/>
      <c r="F35" s="543" t="e">
        <f t="shared" ca="1" si="2"/>
        <v>#REF!</v>
      </c>
      <c r="N35" s="538"/>
    </row>
    <row r="36" spans="1:14">
      <c r="A36" s="72" t="e">
        <f>INPUTS!#REF!</f>
        <v>#REF!</v>
      </c>
      <c r="B36" s="844" t="e">
        <f ca="1">INPUTS!C152*(INPUTS!D152+INPUTS!F152*Economics_Parameters!$C$12)</f>
        <v>#REF!</v>
      </c>
      <c r="C36" s="844" t="e">
        <f ca="1">INPUTS!C134*(INPUTS!D134+INPUTS!E134*Economics_Parameters!$C$12)+INPUTS!C152*(INPUTS!E152+INPUTS!G152*Economics_Parameters!$C$12)</f>
        <v>#REF!</v>
      </c>
      <c r="D36" s="543"/>
      <c r="E36" s="543"/>
      <c r="F36" s="543" t="e">
        <f t="shared" ca="1" si="2"/>
        <v>#REF!</v>
      </c>
    </row>
    <row r="37" spans="1:14">
      <c r="A37" s="544" t="e">
        <f>INPUTS!#REF!</f>
        <v>#REF!</v>
      </c>
      <c r="B37" s="844" t="e">
        <f ca="1">INPUTS!C153*(INPUTS!D153+INPUTS!F153*Economics_Parameters!$C$12)</f>
        <v>#REF!</v>
      </c>
      <c r="C37" s="844" t="e">
        <f ca="1">INPUTS!C135*(INPUTS!D135+INPUTS!E135*Economics_Parameters!$C$12)+INPUTS!C153*(INPUTS!E153+INPUTS!G153*Economics_Parameters!$C$12)</f>
        <v>#REF!</v>
      </c>
      <c r="D37" s="545"/>
      <c r="E37" s="545"/>
      <c r="F37" s="545" t="e">
        <f t="shared" ca="1" si="2"/>
        <v>#REF!</v>
      </c>
      <c r="N37" s="538"/>
    </row>
    <row r="38" spans="1:14">
      <c r="B38" s="565" t="e">
        <f ca="1">SUM(B24:B37)</f>
        <v>#REF!</v>
      </c>
      <c r="C38" s="565" t="e">
        <f ca="1">SUM(C24:C37)</f>
        <v>#REF!</v>
      </c>
      <c r="F38" s="539" t="e">
        <f ca="1">SUM(F24:F37)</f>
        <v>#REF!</v>
      </c>
      <c r="J38" s="528"/>
      <c r="K38" s="528"/>
      <c r="L38" s="542"/>
      <c r="M38" s="542"/>
    </row>
    <row r="39" spans="1:14">
      <c r="J39" s="528"/>
      <c r="K39" s="528"/>
      <c r="L39" s="542"/>
      <c r="M39" s="542"/>
    </row>
    <row r="40" spans="1:14">
      <c r="A40" s="540" t="s">
        <v>1656</v>
      </c>
      <c r="B40" s="540" t="s">
        <v>1485</v>
      </c>
      <c r="C40" s="540" t="s">
        <v>1486</v>
      </c>
      <c r="D40" s="561" t="s">
        <v>1233</v>
      </c>
      <c r="E40" s="540"/>
      <c r="F40" s="158" t="s">
        <v>1261</v>
      </c>
      <c r="I40" s="528"/>
      <c r="J40" s="528"/>
      <c r="K40" s="542"/>
      <c r="L40" s="542"/>
    </row>
    <row r="41" spans="1:14">
      <c r="A41" s="72" t="e">
        <f ca="1">IF(INPUTS!$B$157= "",INPUTS!$B$167,INPUTS!$B$157)</f>
        <v>#REF!</v>
      </c>
      <c r="B41" s="845" t="e">
        <f ca="1">IF(INPUTS!C167=0,INPUTS!D167*(INPUTS!E167+INPUTS!G167*Economics_Parameters!$C$12),INPUTS!C167*(INPUTS!E167+INPUTS!G167*Economics_Parameters!$C$12))+IF(INPUTS!C157=0,INPUTS!D157*(INPUTS!E157+INPUTS!G157*Economics_Parameters!$C$12),INPUTS!C157*(INPUTS!E157+INPUTS!G157*Economics_Parameters!$C$12))</f>
        <v>#REF!</v>
      </c>
      <c r="C41" s="846" t="e">
        <f ca="1">IF(INPUTS!C157=0,INPUTS!D157*(INPUTS!F157+(INPUTS!H157*Economics_Parameters!$C$12)),INPUTS!C157*(INPUTS!F157+(INPUTS!H157*Economics_Parameters!$C$12)))+IF(INPUTS!C167=0,INPUTS!D167*(INPUTS!F167+(INPUTS!H167*Economics_Parameters!$C$12)),INPUTS!C167*(INPUTS!F167+(INPUTS!H167*Economics_Parameters!$C$12)))</f>
        <v>#REF!</v>
      </c>
      <c r="D41" s="847" t="e">
        <f ca="1">(INPUTS!C157+INPUTS!C167)*Economics_Parameters!$C$18</f>
        <v>#REF!</v>
      </c>
      <c r="E41" s="72"/>
      <c r="F41" s="589" t="e">
        <f ca="1">SUM(B41+C41+D41+E41)</f>
        <v>#REF!</v>
      </c>
      <c r="L41" s="542"/>
    </row>
    <row r="42" spans="1:14">
      <c r="A42" s="72" t="e">
        <f ca="1">IF(INPUTS!$B$158= "",INPUTS!$B$168,INPUTS!$B$158)</f>
        <v>#REF!</v>
      </c>
      <c r="B42" s="845" t="e">
        <f ca="1">IF(INPUTS!C168=0,INPUTS!D168*(INPUTS!E168+INPUTS!G168*Economics_Parameters!$C$12),INPUTS!C168*(INPUTS!E168+INPUTS!G168*Economics_Parameters!$C$12))+IF(INPUTS!C158=0,INPUTS!D158*(INPUTS!E158+INPUTS!G158*Economics_Parameters!$C$12),INPUTS!C158*(INPUTS!E158+INPUTS!G158*Economics_Parameters!$C$12))</f>
        <v>#REF!</v>
      </c>
      <c r="C42" s="846" t="e">
        <f ca="1">IF(INPUTS!C158=0,INPUTS!D158*(INPUTS!F158+(INPUTS!H158*Economics_Parameters!$C$12)),INPUTS!C158*(INPUTS!F158+(INPUTS!H158*Economics_Parameters!$C$12)))+IF(INPUTS!C168=0,INPUTS!D168*(INPUTS!F168+(INPUTS!H168*Economics_Parameters!$C$12)),INPUTS!C168*(INPUTS!F168+(INPUTS!H168*Economics_Parameters!$C$12)))</f>
        <v>#REF!</v>
      </c>
      <c r="D42" s="847" t="e">
        <f ca="1">(INPUTS!C158+INPUTS!C168)*Economics_Parameters!$C$18</f>
        <v>#REF!</v>
      </c>
      <c r="E42" s="72"/>
      <c r="F42" s="589" t="e">
        <f ca="1">SUM(B42+C42+D42+E42)</f>
        <v>#REF!</v>
      </c>
    </row>
    <row r="43" spans="1:14">
      <c r="A43" s="72" t="e">
        <f ca="1">IF(INPUTS!$B$159= "",INPUTS!$B$169,INPUTS!$B$159)</f>
        <v>#REF!</v>
      </c>
      <c r="B43" s="845" t="e">
        <f ca="1">IF(INPUTS!C169=0,INPUTS!D169*(INPUTS!E169+INPUTS!G169*Economics_Parameters!$C$12),INPUTS!C169*(INPUTS!E169+INPUTS!G169*Economics_Parameters!$C$12))+IF(INPUTS!C159=0,INPUTS!D159*(INPUTS!E159+INPUTS!G159*Economics_Parameters!$C$12),INPUTS!C159*(INPUTS!E159+INPUTS!G159*Economics_Parameters!$C$12))</f>
        <v>#REF!</v>
      </c>
      <c r="C43" s="846" t="e">
        <f ca="1">IF(INPUTS!C159=0,INPUTS!D159*(INPUTS!F159+(INPUTS!H159*Economics_Parameters!$C$12)),INPUTS!C159*(INPUTS!F159+(INPUTS!H159*Economics_Parameters!$C$12)))+IF(INPUTS!C169=0,INPUTS!D169*(INPUTS!F169+(INPUTS!H169*Economics_Parameters!$C$12)),INPUTS!C169*(INPUTS!F169+(INPUTS!H169*Economics_Parameters!$C$12)))</f>
        <v>#REF!</v>
      </c>
      <c r="D43" s="847" t="e">
        <f ca="1">(INPUTS!C159+INPUTS!C169)*Economics_Parameters!$C$18</f>
        <v>#REF!</v>
      </c>
      <c r="E43" s="72"/>
      <c r="F43" s="589" t="e">
        <f ca="1">SUM(B43+C43+D43+E43)</f>
        <v>#REF!</v>
      </c>
      <c r="L43" s="538"/>
    </row>
    <row r="44" spans="1:14">
      <c r="A44" s="72" t="e">
        <f ca="1">IF(INPUTS!$B$160= "",INPUTS!$B$170,INPUTS!$B$160)</f>
        <v>#REF!</v>
      </c>
      <c r="B44" s="845" t="e">
        <f ca="1">IF(INPUTS!C170=0,INPUTS!D170*(INPUTS!E170+INPUTS!G170*Economics_Parameters!$C$12),INPUTS!C170*(INPUTS!E170+INPUTS!G170*Economics_Parameters!$C$12))+IF(INPUTS!C160=0,INPUTS!D160*(INPUTS!E160+INPUTS!G160*Economics_Parameters!$C$12),INPUTS!C160*(INPUTS!E160+INPUTS!G160*Economics_Parameters!$C$12))</f>
        <v>#REF!</v>
      </c>
      <c r="C44" s="846" t="e">
        <f ca="1">IF(INPUTS!C160=0,INPUTS!D160*(INPUTS!F160+(INPUTS!H160*Economics_Parameters!$C$12)),INPUTS!C160*(INPUTS!F160+(INPUTS!H160*Economics_Parameters!$C$12)))+IF(INPUTS!C170=0,INPUTS!D170*(INPUTS!F170+(INPUTS!H170*Economics_Parameters!$C$12)),INPUTS!C170*(INPUTS!F170+(INPUTS!H170*Economics_Parameters!$C$12)))</f>
        <v>#REF!</v>
      </c>
      <c r="D44" s="847" t="e">
        <f ca="1">(INPUTS!C160+INPUTS!C170)*Economics_Parameters!$C$18</f>
        <v>#REF!</v>
      </c>
      <c r="E44" s="72"/>
      <c r="F44" s="589" t="e">
        <f ca="1">SUM(B44+C44+D44+E44)</f>
        <v>#REF!</v>
      </c>
    </row>
    <row r="45" spans="1:14">
      <c r="A45" s="72" t="e">
        <f ca="1">IF(INPUTS!$B$161= "",INPUTS!$B$171,INPUTS!$B$161)</f>
        <v>#REF!</v>
      </c>
      <c r="B45" s="845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5" s="846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5" s="847" t="e">
        <f ca="1">(INPUTS!C161+INPUTS!C171)*Economics_Parameters!$C$18</f>
        <v>#REF!</v>
      </c>
      <c r="E45" s="72"/>
      <c r="F45" s="589" t="e">
        <f ca="1">SUM(B45+C45+D45+E45)</f>
        <v>#REF!</v>
      </c>
    </row>
    <row r="46" spans="1:14">
      <c r="A46" s="72" t="e">
        <f ca="1">IF(INPUTS!$B$162= "",INPUTS!$B$172,INPUTS!$B$162)</f>
        <v>#REF!</v>
      </c>
      <c r="B46" s="845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6" s="846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6" s="847" t="e">
        <f ca="1">(INPUTS!C162+INPUTS!C172)*Economics_Parameters!$C$18</f>
        <v>#REF!</v>
      </c>
      <c r="E46" s="72"/>
      <c r="F46" s="589" t="e">
        <f t="shared" ref="F46:F47" ca="1" si="3">SUM(B46+C46+D46+E46)</f>
        <v>#REF!</v>
      </c>
    </row>
    <row r="47" spans="1:14">
      <c r="A47" s="544" t="e">
        <f ca="1">IF(INPUTS!$B$163= "",INPUTS!$B$173,INPUTS!$B$163)</f>
        <v>#REF!</v>
      </c>
      <c r="B47" s="845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7" s="846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7" s="847" t="e">
        <f ca="1">(INPUTS!C163+INPUTS!C173)*Economics_Parameters!$C$18</f>
        <v>#REF!</v>
      </c>
      <c r="E47" s="544"/>
      <c r="F47" s="589" t="e">
        <f t="shared" ca="1" si="3"/>
        <v>#REF!</v>
      </c>
      <c r="I47" s="538"/>
    </row>
    <row r="48" spans="1:14">
      <c r="B48" s="564" t="e">
        <f ca="1">SUM(B41:B47)</f>
        <v>#REF!</v>
      </c>
      <c r="C48" s="843" t="e">
        <f ca="1">SUM(C41:C47)</f>
        <v>#REF!</v>
      </c>
      <c r="D48" s="564" t="e">
        <f ca="1">SUM(D41:D47)</f>
        <v>#REF!</v>
      </c>
      <c r="F48" s="539" t="e">
        <f ca="1">SUM(F41:F47)</f>
        <v>#REF!</v>
      </c>
      <c r="I48" s="538"/>
    </row>
    <row r="49" spans="1:12">
      <c r="J49" s="538"/>
    </row>
    <row r="50" spans="1:12">
      <c r="A50" s="540" t="s">
        <v>1211</v>
      </c>
      <c r="B50" s="540" t="s">
        <v>1485</v>
      </c>
      <c r="C50" s="540" t="s">
        <v>1486</v>
      </c>
      <c r="D50" s="561"/>
      <c r="E50" s="540"/>
      <c r="F50" s="158" t="s">
        <v>1261</v>
      </c>
    </row>
    <row r="51" spans="1:12">
      <c r="A51" s="72" t="str">
        <f>INPUTS!$B$177</f>
        <v>extra stable</v>
      </c>
      <c r="B51" s="557">
        <f>INPUTS!C177+INPUTS!E177*Economics_Parameters!$C$12</f>
        <v>267.5</v>
      </c>
      <c r="C51" s="557">
        <f>INPUTS!D177+INPUTS!F177*Economics_Parameters!$C$12</f>
        <v>3.5</v>
      </c>
      <c r="D51" s="543"/>
      <c r="E51" s="543"/>
      <c r="F51" s="543">
        <f>SUM(E51+C51+B51)</f>
        <v>271</v>
      </c>
    </row>
    <row r="52" spans="1:12">
      <c r="A52" s="72">
        <f>INPUTS!$B$178</f>
        <v>0</v>
      </c>
      <c r="B52" s="557">
        <f>INPUTS!C178+INPUTS!E178*Economics_Parameters!$C$12</f>
        <v>0</v>
      </c>
      <c r="C52" s="557">
        <f>INPUTS!D178+INPUTS!F178*Economics_Parameters!$C$12</f>
        <v>0</v>
      </c>
      <c r="D52" s="543"/>
      <c r="E52" s="543"/>
      <c r="F52" s="543">
        <f>SUM(E52+C52+B52)</f>
        <v>0</v>
      </c>
    </row>
    <row r="53" spans="1:12">
      <c r="A53" s="544">
        <f>INPUTS!$B$179</f>
        <v>0</v>
      </c>
      <c r="B53" s="557">
        <f>INPUTS!C179+INPUTS!E179*Economics_Parameters!$C$12</f>
        <v>0</v>
      </c>
      <c r="C53" s="557">
        <f>INPUTS!D179+INPUTS!F179*Economics_Parameters!$C$12</f>
        <v>0</v>
      </c>
      <c r="D53" s="545"/>
      <c r="E53" s="545"/>
      <c r="F53" s="545">
        <f>SUM(E53+C53+B53)</f>
        <v>0</v>
      </c>
    </row>
    <row r="54" spans="1:12">
      <c r="B54" s="565">
        <f>SUM(B51:B53)</f>
        <v>267.5</v>
      </c>
      <c r="C54" s="565">
        <f>SUM(C51:C53)</f>
        <v>3.5</v>
      </c>
      <c r="F54" s="539">
        <f>SUM(F51:F53)</f>
        <v>271</v>
      </c>
    </row>
    <row r="56" spans="1:12">
      <c r="A56" s="37"/>
      <c r="B56" s="842" t="s">
        <v>1645</v>
      </c>
      <c r="C56" s="842" t="s">
        <v>1646</v>
      </c>
      <c r="D56" s="587" t="s">
        <v>1262</v>
      </c>
      <c r="E56" s="37"/>
      <c r="F56" s="37" t="s">
        <v>127</v>
      </c>
    </row>
    <row r="57" spans="1:12">
      <c r="A57" s="580" t="s">
        <v>1312</v>
      </c>
      <c r="B57" s="581" t="e">
        <f ca="1">B38+B48+B54</f>
        <v>#REF!</v>
      </c>
      <c r="C57" s="581" t="e">
        <f ca="1">C38+C48+C54</f>
        <v>#REF!</v>
      </c>
      <c r="D57" s="588" t="e">
        <f ca="1">D38+D48+D54</f>
        <v>#REF!</v>
      </c>
      <c r="E57" s="550"/>
      <c r="F57" s="582" t="e">
        <f ca="1">SUM(F38,F48,F54)</f>
        <v>#REF!</v>
      </c>
    </row>
    <row r="59" spans="1:12">
      <c r="A59" t="s">
        <v>1212</v>
      </c>
    </row>
    <row r="60" spans="1:12">
      <c r="B60" s="562" t="s">
        <v>1649</v>
      </c>
      <c r="C60" s="562" t="s">
        <v>1236</v>
      </c>
      <c r="D60" s="562" t="s">
        <v>1237</v>
      </c>
      <c r="E60" s="562" t="s">
        <v>1238</v>
      </c>
      <c r="F60" s="562" t="s">
        <v>1239</v>
      </c>
      <c r="G60" s="562" t="s">
        <v>1240</v>
      </c>
      <c r="H60" s="562" t="s">
        <v>1263</v>
      </c>
      <c r="I60" s="562" t="s">
        <v>1264</v>
      </c>
      <c r="J60" s="562" t="s">
        <v>1265</v>
      </c>
      <c r="K60" s="562" t="s">
        <v>1266</v>
      </c>
      <c r="L60" s="562"/>
    </row>
    <row r="61" spans="1:12">
      <c r="A61" s="880" t="s">
        <v>1647</v>
      </c>
      <c r="B61" s="881" t="e">
        <f ca="1">E19</f>
        <v>#REF!</v>
      </c>
      <c r="C61" s="559" t="e">
        <f ca="1">$B$61*2</f>
        <v>#REF!</v>
      </c>
      <c r="D61" s="559" t="e">
        <f ca="1">$B$61*3</f>
        <v>#REF!</v>
      </c>
      <c r="E61" s="559" t="e">
        <f ca="1">$B$61*4</f>
        <v>#REF!</v>
      </c>
      <c r="F61" s="559" t="e">
        <f ca="1">$B$61*5</f>
        <v>#REF!</v>
      </c>
      <c r="G61" s="559" t="e">
        <f ca="1">$B$61*6</f>
        <v>#REF!</v>
      </c>
      <c r="H61" s="559" t="e">
        <f ca="1">$B$61*7</f>
        <v>#REF!</v>
      </c>
      <c r="I61" s="559" t="e">
        <f ca="1">$B$61*8</f>
        <v>#REF!</v>
      </c>
      <c r="J61" s="559" t="e">
        <f ca="1">$B$61*9</f>
        <v>#REF!</v>
      </c>
      <c r="K61" s="559" t="e">
        <f ca="1">$B$61*10</f>
        <v>#REF!</v>
      </c>
      <c r="L61" s="559"/>
    </row>
    <row r="62" spans="1:12">
      <c r="A62" s="72" t="s">
        <v>1312</v>
      </c>
      <c r="B62" s="541" t="e">
        <f ca="1">F57</f>
        <v>#REF!</v>
      </c>
      <c r="C62" s="559" t="e">
        <f ca="1">B62+$C$57+$D$57</f>
        <v>#REF!</v>
      </c>
      <c r="D62" s="559" t="e">
        <f ca="1">C62+$C$57+$D$57</f>
        <v>#REF!</v>
      </c>
      <c r="E62" s="559" t="e">
        <f ca="1">D62+$C$57+$D$57</f>
        <v>#REF!</v>
      </c>
      <c r="F62" s="559" t="e">
        <f ca="1">E62+$C$57+$D$57</f>
        <v>#REF!</v>
      </c>
      <c r="G62" s="559" t="e">
        <f t="shared" ref="G62:K62" ca="1" si="4">F62+$C$57+$D$57</f>
        <v>#REF!</v>
      </c>
      <c r="H62" s="559" t="e">
        <f t="shared" ca="1" si="4"/>
        <v>#REF!</v>
      </c>
      <c r="I62" s="559" t="e">
        <f t="shared" ca="1" si="4"/>
        <v>#REF!</v>
      </c>
      <c r="J62" s="559" t="e">
        <f t="shared" ca="1" si="4"/>
        <v>#REF!</v>
      </c>
      <c r="K62" s="559" t="e">
        <f t="shared" ca="1" si="4"/>
        <v>#REF!</v>
      </c>
      <c r="L62" s="559"/>
    </row>
    <row r="63" spans="1:12">
      <c r="B63" s="558" t="e">
        <f t="shared" ref="B63:G63" ca="1" si="5">SUM(B61-B62)</f>
        <v>#REF!</v>
      </c>
      <c r="C63" s="558" t="e">
        <f t="shared" ca="1" si="5"/>
        <v>#REF!</v>
      </c>
      <c r="D63" s="558" t="e">
        <f t="shared" ca="1" si="5"/>
        <v>#REF!</v>
      </c>
      <c r="E63" s="558" t="e">
        <f t="shared" ca="1" si="5"/>
        <v>#REF!</v>
      </c>
      <c r="F63" s="558" t="e">
        <f t="shared" ca="1" si="5"/>
        <v>#REF!</v>
      </c>
      <c r="G63" s="558" t="e">
        <f t="shared" ca="1" si="5"/>
        <v>#REF!</v>
      </c>
      <c r="H63" s="558" t="e">
        <f ca="1">SUM(H61-H62)</f>
        <v>#REF!</v>
      </c>
      <c r="I63" s="558" t="e">
        <f ca="1">SUM(I61-I62)</f>
        <v>#REF!</v>
      </c>
      <c r="J63" s="558" t="e">
        <f ca="1">SUM(J61-J62)</f>
        <v>#REF!</v>
      </c>
      <c r="K63" s="558" t="e">
        <f ca="1">SUM(K61-K62)</f>
        <v>#REF!</v>
      </c>
      <c r="L63" s="558"/>
    </row>
    <row r="64" spans="1:12">
      <c r="B64" s="528"/>
    </row>
    <row r="66" spans="1:14" s="441" customFormat="1" ht="29.25" customHeight="1">
      <c r="A66" s="442" t="s">
        <v>1213</v>
      </c>
      <c r="B66" s="442"/>
    </row>
    <row r="67" spans="1:14">
      <c r="G67" s="141"/>
    </row>
    <row r="68" spans="1:14">
      <c r="G68" s="141"/>
    </row>
    <row r="69" spans="1:14">
      <c r="A69" s="547" t="s">
        <v>1214</v>
      </c>
      <c r="B69" s="879" t="s">
        <v>1648</v>
      </c>
      <c r="C69" s="547" t="s">
        <v>1216</v>
      </c>
      <c r="D69" s="547" t="s">
        <v>1217</v>
      </c>
      <c r="E69" s="547" t="s">
        <v>1218</v>
      </c>
      <c r="F69" s="853"/>
      <c r="G69" s="855"/>
      <c r="H69" s="37"/>
      <c r="J69" s="37"/>
      <c r="K69" s="37"/>
      <c r="L69" s="37"/>
      <c r="M69" s="37"/>
      <c r="N69" s="37"/>
    </row>
    <row r="70" spans="1:14">
      <c r="A70">
        <v>0</v>
      </c>
      <c r="B70" s="538" t="e">
        <f ca="1">$B$63</f>
        <v>#REF!</v>
      </c>
      <c r="C70" s="854" t="e">
        <f ca="1">$B$63</f>
        <v>#REF!</v>
      </c>
      <c r="D70" s="542" t="e">
        <f ca="1">$B$63</f>
        <v>#REF!</v>
      </c>
      <c r="E70" s="39"/>
      <c r="F70" s="852"/>
      <c r="G70" s="852"/>
      <c r="I70" s="528"/>
      <c r="K70" s="567"/>
    </row>
    <row r="71" spans="1:14">
      <c r="A71">
        <v>1</v>
      </c>
      <c r="B71" s="538" t="e">
        <f ca="1">C63</f>
        <v>#REF!</v>
      </c>
      <c r="C71" s="546" t="e">
        <f ca="1">-PV(Economics_Parameters!$C$22,A71,,B71)</f>
        <v>#REF!</v>
      </c>
      <c r="D71" s="542" t="e">
        <f ca="1">D70+C71</f>
        <v>#REF!</v>
      </c>
      <c r="E71" s="39" t="e">
        <f ca="1">IF(D71&lt;0,"N/A",ABS(D70/C71))</f>
        <v>#REF!</v>
      </c>
      <c r="G71" s="855"/>
      <c r="I71" s="528"/>
      <c r="K71" s="567"/>
      <c r="L71" s="568"/>
      <c r="M71" s="568"/>
    </row>
    <row r="72" spans="1:14">
      <c r="A72" s="852">
        <v>2</v>
      </c>
      <c r="B72" s="538" t="e">
        <f ca="1">D63</f>
        <v>#REF!</v>
      </c>
      <c r="C72" s="546" t="e">
        <f ca="1">-PV(Economics_Parameters!$C$22,A72,,B72)</f>
        <v>#REF!</v>
      </c>
      <c r="D72" s="542" t="e">
        <f t="shared" ref="D72:D79" ca="1" si="6">D71+C72</f>
        <v>#REF!</v>
      </c>
      <c r="E72" s="39" t="e">
        <f t="shared" ref="E72:E79" ca="1" si="7">IF(D72&lt;0,"N/A",ABS(D71/C72))</f>
        <v>#REF!</v>
      </c>
      <c r="F72" s="852"/>
      <c r="G72" s="855"/>
      <c r="I72" s="528"/>
      <c r="K72" s="567"/>
      <c r="L72" s="568"/>
      <c r="M72" s="568"/>
    </row>
    <row r="73" spans="1:14">
      <c r="A73" s="852">
        <v>3</v>
      </c>
      <c r="B73" s="538" t="e">
        <f ca="1">E63</f>
        <v>#REF!</v>
      </c>
      <c r="C73" s="546" t="e">
        <f ca="1">-PV(Economics_Parameters!$C$22,A73,,B73)</f>
        <v>#REF!</v>
      </c>
      <c r="D73" s="542" t="e">
        <f t="shared" ca="1" si="6"/>
        <v>#REF!</v>
      </c>
      <c r="E73" s="39" t="e">
        <f t="shared" ca="1" si="7"/>
        <v>#REF!</v>
      </c>
      <c r="F73" s="852"/>
      <c r="G73" s="855"/>
      <c r="K73" s="567"/>
      <c r="L73" s="568"/>
      <c r="M73" s="568"/>
    </row>
    <row r="74" spans="1:14">
      <c r="A74" s="852">
        <v>4</v>
      </c>
      <c r="B74" s="538" t="e">
        <f ca="1">F63</f>
        <v>#REF!</v>
      </c>
      <c r="C74" s="546" t="e">
        <f ca="1">-PV(Economics_Parameters!$C$22,A74,,B74)</f>
        <v>#REF!</v>
      </c>
      <c r="D74" s="542" t="e">
        <f t="shared" ca="1" si="6"/>
        <v>#REF!</v>
      </c>
      <c r="E74" s="39" t="e">
        <f t="shared" ca="1" si="7"/>
        <v>#REF!</v>
      </c>
      <c r="F74" s="852"/>
      <c r="G74" s="855"/>
      <c r="K74" s="567"/>
      <c r="L74" s="568"/>
      <c r="M74" s="568"/>
    </row>
    <row r="75" spans="1:14">
      <c r="A75" s="852">
        <v>5</v>
      </c>
      <c r="B75" s="538" t="e">
        <f ca="1">G63</f>
        <v>#REF!</v>
      </c>
      <c r="C75" s="546" t="e">
        <f ca="1">-PV(Economics_Parameters!$C$22,A75,,B75)</f>
        <v>#REF!</v>
      </c>
      <c r="D75" s="542" t="e">
        <f t="shared" ca="1" si="6"/>
        <v>#REF!</v>
      </c>
      <c r="E75" s="39" t="e">
        <f t="shared" ca="1" si="7"/>
        <v>#REF!</v>
      </c>
      <c r="F75" s="852"/>
      <c r="G75" s="855"/>
      <c r="K75" s="567"/>
      <c r="L75" s="568"/>
      <c r="M75" s="568"/>
    </row>
    <row r="76" spans="1:14">
      <c r="A76" s="852">
        <v>6</v>
      </c>
      <c r="B76" s="538" t="e">
        <f ca="1">H63</f>
        <v>#REF!</v>
      </c>
      <c r="C76" s="546" t="e">
        <f ca="1">-PV(Economics_Parameters!$C$22,A76,,B76)</f>
        <v>#REF!</v>
      </c>
      <c r="D76" s="542" t="e">
        <f t="shared" ca="1" si="6"/>
        <v>#REF!</v>
      </c>
      <c r="E76" s="39" t="e">
        <f t="shared" ca="1" si="7"/>
        <v>#REF!</v>
      </c>
      <c r="F76" s="852"/>
      <c r="G76" s="855"/>
      <c r="K76" s="567"/>
      <c r="L76" s="568"/>
      <c r="M76" s="568"/>
    </row>
    <row r="77" spans="1:14">
      <c r="A77" s="852">
        <v>7</v>
      </c>
      <c r="B77" s="538" t="e">
        <f ca="1">I63</f>
        <v>#REF!</v>
      </c>
      <c r="C77" s="546" t="e">
        <f ca="1">-PV(Economics_Parameters!$C$22,A77,,B77)</f>
        <v>#REF!</v>
      </c>
      <c r="D77" s="542" t="e">
        <f t="shared" ca="1" si="6"/>
        <v>#REF!</v>
      </c>
      <c r="E77" s="39" t="e">
        <f t="shared" ca="1" si="7"/>
        <v>#REF!</v>
      </c>
      <c r="F77" s="852"/>
      <c r="G77" s="855"/>
      <c r="K77" s="567"/>
      <c r="L77" s="568"/>
      <c r="M77" s="568"/>
    </row>
    <row r="78" spans="1:14">
      <c r="A78" s="852">
        <v>8</v>
      </c>
      <c r="B78" s="538" t="e">
        <f ca="1">J63</f>
        <v>#REF!</v>
      </c>
      <c r="C78" s="546" t="e">
        <f ca="1">-PV(Economics_Parameters!$C$22,A78,,B78)</f>
        <v>#REF!</v>
      </c>
      <c r="D78" s="542" t="e">
        <f t="shared" ca="1" si="6"/>
        <v>#REF!</v>
      </c>
      <c r="E78" s="39" t="e">
        <f t="shared" ca="1" si="7"/>
        <v>#REF!</v>
      </c>
      <c r="F78" s="852"/>
      <c r="G78" s="855"/>
      <c r="K78" s="567"/>
      <c r="L78" s="568"/>
      <c r="M78" s="568"/>
    </row>
    <row r="79" spans="1:14">
      <c r="A79" s="852">
        <v>9</v>
      </c>
      <c r="B79" s="538" t="e">
        <f ca="1">K63</f>
        <v>#REF!</v>
      </c>
      <c r="C79" s="546" t="e">
        <f ca="1">-PV(Economics_Parameters!$C$22,A79,,B79)</f>
        <v>#REF!</v>
      </c>
      <c r="D79" s="542" t="e">
        <f t="shared" ca="1" si="6"/>
        <v>#REF!</v>
      </c>
      <c r="E79" s="39" t="e">
        <f t="shared" ca="1" si="7"/>
        <v>#REF!</v>
      </c>
      <c r="F79" s="852"/>
      <c r="G79" s="855"/>
      <c r="K79" s="567"/>
      <c r="L79" s="568"/>
      <c r="M79" s="568"/>
    </row>
    <row r="80" spans="1:14">
      <c r="B80" s="538"/>
      <c r="C80" s="546"/>
      <c r="D80" s="542"/>
      <c r="E80" s="39"/>
      <c r="G80" s="141"/>
      <c r="K80" s="567"/>
      <c r="L80" s="568"/>
      <c r="M80" s="568"/>
    </row>
    <row r="81" spans="1:13">
      <c r="B81" s="538"/>
      <c r="C81" s="546"/>
      <c r="D81" s="542"/>
      <c r="E81" s="39"/>
      <c r="G81" s="141"/>
      <c r="K81" s="567"/>
      <c r="L81" s="568"/>
      <c r="M81" s="568"/>
    </row>
    <row r="82" spans="1:13" ht="16.5" thickBot="1">
      <c r="G82" s="141"/>
    </row>
    <row r="83" spans="1:13" ht="16.5" thickBot="1">
      <c r="A83" s="547" t="s">
        <v>1219</v>
      </c>
      <c r="B83" s="547">
        <f ca="1">COUNTIF($D$71:$D$79,"&lt;0")</f>
        <v>0</v>
      </c>
      <c r="C83" s="856" t="e">
        <f ca="1">INDEX(E71:E79,COUNTIF(D71:D79,"&lt;0")+1)</f>
        <v>#REF!</v>
      </c>
      <c r="D83" s="857" t="e">
        <f ca="1">B83+C83</f>
        <v>#REF!</v>
      </c>
      <c r="G83" s="141"/>
      <c r="J83" s="37"/>
      <c r="K83" s="569"/>
      <c r="L83" s="528"/>
    </row>
    <row r="84" spans="1:13">
      <c r="G84" s="141"/>
    </row>
    <row r="85" spans="1:13">
      <c r="A85" s="550" t="s">
        <v>1228</v>
      </c>
      <c r="B85" s="551" t="e">
        <f ca="1">SUM(C70:C79)</f>
        <v>#REF!</v>
      </c>
      <c r="C85" s="568"/>
      <c r="G85" s="141"/>
      <c r="J85" s="37"/>
      <c r="K85" s="519"/>
    </row>
    <row r="86" spans="1:13">
      <c r="G86" s="141"/>
    </row>
    <row r="87" spans="1:13">
      <c r="A87" s="547" t="s">
        <v>1268</v>
      </c>
      <c r="B87" s="591"/>
      <c r="C87" s="542"/>
      <c r="G87" s="141"/>
    </row>
    <row r="88" spans="1:13">
      <c r="A88" t="s">
        <v>1236</v>
      </c>
      <c r="B88" s="552" t="e">
        <f ca="1">(B61-B62)/B62</f>
        <v>#REF!</v>
      </c>
      <c r="G88" s="141"/>
    </row>
    <row r="89" spans="1:13">
      <c r="A89" t="s">
        <v>1282</v>
      </c>
      <c r="B89" s="552" t="e">
        <f ca="1">(C61-C62)/C62</f>
        <v>#REF!</v>
      </c>
      <c r="G89" s="141"/>
    </row>
    <row r="90" spans="1:13">
      <c r="A90" t="s">
        <v>1238</v>
      </c>
      <c r="B90" s="552" t="e">
        <f ca="1">(D61-D62)/D62</f>
        <v>#REF!</v>
      </c>
      <c r="G90" s="141"/>
    </row>
    <row r="91" spans="1:13">
      <c r="A91" t="s">
        <v>1239</v>
      </c>
      <c r="B91" s="552" t="e">
        <f ca="1">(E$61-E$62)/(E$62)</f>
        <v>#REF!</v>
      </c>
      <c r="G91" s="141"/>
    </row>
    <row r="92" spans="1:13">
      <c r="A92" t="s">
        <v>1240</v>
      </c>
      <c r="B92" s="552" t="e">
        <f ca="1">(F$61-F$62)/(F$62)</f>
        <v>#REF!</v>
      </c>
    </row>
    <row r="93" spans="1:13">
      <c r="A93" t="s">
        <v>1263</v>
      </c>
      <c r="B93" s="552" t="e">
        <f ca="1">(G$61-G$62)/(G$62)</f>
        <v>#REF!</v>
      </c>
    </row>
    <row r="94" spans="1:13">
      <c r="A94" t="s">
        <v>1264</v>
      </c>
      <c r="B94" s="552" t="e">
        <f ca="1">(H$61-H$62)/(H$62)</f>
        <v>#REF!</v>
      </c>
    </row>
    <row r="95" spans="1:13">
      <c r="A95" t="s">
        <v>1265</v>
      </c>
      <c r="B95" s="552" t="e">
        <f ca="1">(I$61-I$62)/(I$62)</f>
        <v>#REF!</v>
      </c>
    </row>
    <row r="96" spans="1:13">
      <c r="A96" t="s">
        <v>1266</v>
      </c>
      <c r="B96" s="552" t="e">
        <f ca="1">(J$61-J$62)/(J$62)</f>
        <v>#REF!</v>
      </c>
    </row>
    <row r="97" spans="1:2">
      <c r="A97" t="s">
        <v>1267</v>
      </c>
      <c r="B97" s="552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opLeftCell="BC1" zoomScale="80" zoomScaleNormal="80" workbookViewId="0">
      <selection activeCell="BW9" sqref="BW9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1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1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1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79" customFormat="1" ht="15.75" customHeight="1">
      <c r="A4" s="178"/>
      <c r="C4" s="179">
        <v>365</v>
      </c>
      <c r="D4" s="179" t="s">
        <v>381</v>
      </c>
    </row>
    <row r="5" spans="1:78" s="181" customFormat="1" ht="15.75" customHeight="1" thickBot="1">
      <c r="A5" s="180"/>
      <c r="BP5" s="298"/>
      <c r="BQ5" s="298"/>
      <c r="BR5" s="298"/>
      <c r="BS5" s="298"/>
      <c r="BT5" s="298" t="s">
        <v>1136</v>
      </c>
    </row>
    <row r="6" spans="1:78" ht="96.75" customHeight="1" thickBot="1">
      <c r="A6" s="147" t="s">
        <v>792</v>
      </c>
      <c r="B6" s="102" t="s">
        <v>995</v>
      </c>
      <c r="D6" s="146" t="s">
        <v>640</v>
      </c>
      <c r="E6" s="142"/>
      <c r="F6" s="1612" t="s">
        <v>747</v>
      </c>
      <c r="G6" s="1613"/>
      <c r="H6" s="1613"/>
      <c r="I6" s="1613"/>
      <c r="J6" s="1613"/>
      <c r="K6" s="1613"/>
      <c r="L6" s="1614"/>
      <c r="N6" s="1615" t="s">
        <v>830</v>
      </c>
      <c r="O6" s="1621"/>
      <c r="P6" s="1621"/>
      <c r="Q6" s="1621"/>
      <c r="R6" s="1621"/>
      <c r="S6" s="1621"/>
      <c r="T6" s="1622"/>
      <c r="U6" s="608"/>
      <c r="V6" s="1615" t="s">
        <v>748</v>
      </c>
      <c r="W6" s="1616"/>
      <c r="X6" s="1616"/>
      <c r="Y6" s="1616"/>
      <c r="Z6" s="1616"/>
      <c r="AA6" s="1617"/>
      <c r="AB6" s="142"/>
      <c r="AC6" s="1615" t="s">
        <v>749</v>
      </c>
      <c r="AD6" s="1617"/>
      <c r="AE6" s="158"/>
      <c r="AF6" s="1618" t="s">
        <v>788</v>
      </c>
      <c r="AG6" s="1617"/>
      <c r="AI6" s="136" t="s">
        <v>750</v>
      </c>
      <c r="AJ6" s="136"/>
      <c r="AK6" s="136" t="s">
        <v>751</v>
      </c>
      <c r="AL6" s="136"/>
      <c r="AM6" s="136" t="s">
        <v>752</v>
      </c>
      <c r="AN6" s="136"/>
      <c r="AO6" s="136" t="s">
        <v>941</v>
      </c>
      <c r="AP6" s="136" t="s">
        <v>942</v>
      </c>
      <c r="AQ6" s="136"/>
      <c r="AR6" s="143"/>
      <c r="AS6" s="137" t="s">
        <v>753</v>
      </c>
      <c r="AT6" s="137"/>
      <c r="AU6" s="137"/>
      <c r="AV6" s="137" t="s">
        <v>754</v>
      </c>
      <c r="AW6" s="137"/>
      <c r="AX6" s="137" t="s">
        <v>984</v>
      </c>
      <c r="AY6" s="137"/>
      <c r="AZ6" s="137" t="s">
        <v>985</v>
      </c>
      <c r="BA6" s="219"/>
      <c r="BB6" s="219"/>
      <c r="BC6" s="137" t="s">
        <v>1339</v>
      </c>
      <c r="BD6" s="137"/>
      <c r="BE6" s="137" t="s">
        <v>923</v>
      </c>
      <c r="BF6" s="137" t="s">
        <v>924</v>
      </c>
      <c r="BG6" s="137" t="s">
        <v>755</v>
      </c>
      <c r="BH6" s="137"/>
      <c r="BI6" s="137" t="s">
        <v>756</v>
      </c>
      <c r="BJ6" s="219"/>
      <c r="BL6" s="680" t="s">
        <v>1367</v>
      </c>
      <c r="BM6" s="680" t="s">
        <v>1368</v>
      </c>
      <c r="BN6" s="679" t="s">
        <v>1366</v>
      </c>
      <c r="BO6" s="220"/>
      <c r="BP6" s="679" t="s">
        <v>1176</v>
      </c>
      <c r="BQ6" s="678"/>
      <c r="BR6" s="356" t="s">
        <v>253</v>
      </c>
      <c r="BS6" s="357" t="s">
        <v>1024</v>
      </c>
      <c r="BT6" s="358">
        <f>BN16</f>
        <v>-101.33761324933208</v>
      </c>
      <c r="BU6" s="358">
        <f>BP16</f>
        <v>-103.54724277392351</v>
      </c>
      <c r="BV6" s="138"/>
      <c r="BW6" s="138"/>
    </row>
    <row r="7" spans="1:78" s="139" customFormat="1" ht="87.75" customHeight="1">
      <c r="A7" s="30"/>
      <c r="B7" s="30"/>
      <c r="C7" s="30"/>
      <c r="D7" s="195" t="s">
        <v>757</v>
      </c>
      <c r="E7" s="195"/>
      <c r="F7" s="195" t="s">
        <v>988</v>
      </c>
      <c r="G7" s="195"/>
      <c r="H7" s="195" t="s">
        <v>1288</v>
      </c>
      <c r="I7" s="740" t="s">
        <v>1289</v>
      </c>
      <c r="J7" s="740" t="s">
        <v>1559</v>
      </c>
      <c r="K7" s="300" t="s">
        <v>1560</v>
      </c>
      <c r="L7" s="300" t="s">
        <v>1561</v>
      </c>
      <c r="M7" s="195"/>
      <c r="N7" s="196" t="s">
        <v>989</v>
      </c>
      <c r="O7" s="1619" t="s">
        <v>990</v>
      </c>
      <c r="P7" s="1619" t="s">
        <v>793</v>
      </c>
      <c r="Q7" s="607" t="s">
        <v>1301</v>
      </c>
      <c r="R7" s="666" t="s">
        <v>1358</v>
      </c>
      <c r="S7" s="197" t="s">
        <v>1347</v>
      </c>
      <c r="T7" s="196" t="s">
        <v>991</v>
      </c>
      <c r="U7" s="197" t="s">
        <v>1302</v>
      </c>
      <c r="V7" s="195" t="s">
        <v>758</v>
      </c>
      <c r="W7" s="503" t="s">
        <v>759</v>
      </c>
      <c r="X7" s="504" t="s">
        <v>982</v>
      </c>
      <c r="Y7" s="504" t="s">
        <v>983</v>
      </c>
      <c r="Z7" s="197" t="s">
        <v>760</v>
      </c>
      <c r="AA7" s="195" t="s">
        <v>761</v>
      </c>
      <c r="AB7" s="197"/>
      <c r="AC7" s="197"/>
      <c r="AD7" s="197" t="s">
        <v>994</v>
      </c>
      <c r="AE7" s="197"/>
      <c r="AF7" s="197" t="s">
        <v>992</v>
      </c>
      <c r="AG7" s="197" t="s">
        <v>993</v>
      </c>
      <c r="AH7" s="198"/>
      <c r="AI7" s="197" t="s">
        <v>929</v>
      </c>
      <c r="AJ7" s="30" t="s">
        <v>762</v>
      </c>
      <c r="AK7" s="197" t="s">
        <v>930</v>
      </c>
      <c r="AL7" s="30" t="s">
        <v>762</v>
      </c>
      <c r="AM7" s="197" t="s">
        <v>931</v>
      </c>
      <c r="AN7" s="30" t="s">
        <v>762</v>
      </c>
      <c r="AO7" s="197" t="s">
        <v>943</v>
      </c>
      <c r="AP7" s="197" t="s">
        <v>944</v>
      </c>
      <c r="AQ7" s="30" t="s">
        <v>762</v>
      </c>
      <c r="AR7" s="199"/>
      <c r="AS7" s="30" t="s">
        <v>932</v>
      </c>
      <c r="AT7" s="197" t="s">
        <v>762</v>
      </c>
      <c r="AU7" s="197" t="s">
        <v>762</v>
      </c>
      <c r="AV7" s="30" t="s">
        <v>933</v>
      </c>
      <c r="AW7" s="197" t="s">
        <v>762</v>
      </c>
      <c r="AX7" s="301" t="s">
        <v>934</v>
      </c>
      <c r="AY7" s="302" t="s">
        <v>762</v>
      </c>
      <c r="AZ7" s="302" t="s">
        <v>935</v>
      </c>
      <c r="BA7" s="302" t="s">
        <v>762</v>
      </c>
      <c r="BB7" s="302" t="s">
        <v>762</v>
      </c>
      <c r="BC7" s="302" t="s">
        <v>936</v>
      </c>
      <c r="BD7" s="197" t="s">
        <v>762</v>
      </c>
      <c r="BE7" s="197" t="s">
        <v>83</v>
      </c>
      <c r="BF7" s="30" t="s">
        <v>937</v>
      </c>
      <c r="BG7" s="197" t="s">
        <v>938</v>
      </c>
      <c r="BH7" s="197" t="s">
        <v>762</v>
      </c>
      <c r="BI7" s="197" t="s">
        <v>939</v>
      </c>
      <c r="BJ7" s="361" t="s">
        <v>762</v>
      </c>
      <c r="BK7" s="201"/>
      <c r="BL7" s="51" t="s">
        <v>1342</v>
      </c>
      <c r="BM7" s="51" t="s">
        <v>1342</v>
      </c>
      <c r="BN7" s="202" t="s">
        <v>119</v>
      </c>
      <c r="BO7" s="202" t="s">
        <v>1023</v>
      </c>
      <c r="BP7" s="202" t="s">
        <v>119</v>
      </c>
      <c r="BQ7" s="202" t="s">
        <v>1023</v>
      </c>
      <c r="BR7" s="202" t="s">
        <v>814</v>
      </c>
      <c r="BS7" s="2" t="s">
        <v>1172</v>
      </c>
      <c r="BT7" s="663">
        <f>BO16</f>
        <v>-57.43991040896735</v>
      </c>
      <c r="BU7" s="663">
        <f>BQ16</f>
        <v>-58.692366608199748</v>
      </c>
    </row>
    <row r="8" spans="1:78" s="139" customFormat="1" ht="21.75" customHeight="1">
      <c r="A8" s="30"/>
      <c r="B8" s="30"/>
      <c r="C8" s="30"/>
      <c r="D8" s="203"/>
      <c r="E8" s="195"/>
      <c r="F8" s="203"/>
      <c r="G8" s="203"/>
      <c r="H8" s="203"/>
      <c r="I8" s="203"/>
      <c r="J8" s="203"/>
      <c r="K8" s="203"/>
      <c r="M8" s="204"/>
      <c r="N8" s="205"/>
      <c r="O8" s="1620"/>
      <c r="P8" s="1620"/>
      <c r="Q8" s="206"/>
      <c r="R8" s="206"/>
      <c r="S8" s="206"/>
      <c r="T8" s="206"/>
      <c r="U8" s="206"/>
      <c r="V8" s="203"/>
      <c r="W8" s="205"/>
      <c r="X8" s="205"/>
      <c r="Y8" s="205"/>
      <c r="Z8" s="205"/>
      <c r="AA8" s="203"/>
      <c r="AB8" s="197"/>
      <c r="AC8" s="205"/>
      <c r="AD8" s="205"/>
      <c r="AE8" s="205"/>
      <c r="AF8" s="205"/>
      <c r="AG8" s="205"/>
      <c r="AH8" s="198"/>
      <c r="AI8" s="197"/>
      <c r="AJ8" s="30"/>
      <c r="AK8" s="197"/>
      <c r="AL8" s="30"/>
      <c r="AM8" s="197"/>
      <c r="AN8" s="30"/>
      <c r="AO8" s="30"/>
      <c r="AP8" s="197"/>
      <c r="AQ8" s="30"/>
      <c r="AR8" s="199"/>
      <c r="AS8" s="30"/>
      <c r="AT8" s="197"/>
      <c r="AU8" s="207" t="s">
        <v>769</v>
      </c>
      <c r="AV8" s="30"/>
      <c r="AW8" s="30"/>
      <c r="AX8" s="301"/>
      <c r="AY8" s="301"/>
      <c r="AZ8" s="301"/>
      <c r="BA8" s="301"/>
      <c r="BB8" s="301"/>
      <c r="BC8" s="301"/>
      <c r="BD8" s="30"/>
      <c r="BE8" s="30"/>
      <c r="BF8" s="30"/>
      <c r="BG8" s="30"/>
      <c r="BH8" s="197"/>
      <c r="BI8" s="197"/>
      <c r="BJ8" s="200"/>
      <c r="BK8" s="201"/>
      <c r="BN8" s="200"/>
      <c r="BO8" s="299"/>
      <c r="BP8" s="299"/>
      <c r="BQ8" s="299"/>
      <c r="BR8" s="140"/>
      <c r="BS8" s="662" t="s">
        <v>1343</v>
      </c>
      <c r="BU8" s="664" t="s">
        <v>1346</v>
      </c>
      <c r="BV8" s="664" t="s">
        <v>1348</v>
      </c>
      <c r="BW8" s="664" t="s">
        <v>1349</v>
      </c>
      <c r="BX8" s="7" t="s">
        <v>1360</v>
      </c>
      <c r="BY8" s="7" t="s">
        <v>1361</v>
      </c>
      <c r="BZ8" s="665" t="s">
        <v>1359</v>
      </c>
    </row>
    <row r="9" spans="1:78">
      <c r="A9" t="str">
        <f>INPUTS!D69</f>
        <v>Purchased</v>
      </c>
      <c r="B9" s="39">
        <f>VLOOKUP(A9,'Crop parameters'!$A$2:$Z$43,13,FALSE)</f>
        <v>0</v>
      </c>
      <c r="C9" s="39"/>
      <c r="D9" s="39">
        <f>'Land requirements'!F4</f>
        <v>0</v>
      </c>
      <c r="E9" s="39"/>
      <c r="F9" s="39">
        <f>INPUTS!E93</f>
        <v>0</v>
      </c>
      <c r="G9" s="39"/>
      <c r="H9" s="39">
        <f>IFERROR(Feed!$P$175*(S9+U9)/($S$16+$U$16),0)</f>
        <v>0</v>
      </c>
      <c r="I9" s="39">
        <f>Feed!$R$175*INPUTS!F93</f>
        <v>0</v>
      </c>
      <c r="J9" s="39">
        <f>Feed!$T$175*INPUTS!F93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VLOOKUP(INPUTS!$D69,'Crop parameters'!$A$2:$Z$43,4, FALSE)*1000</f>
        <v>0</v>
      </c>
      <c r="O9" s="39">
        <f>VLOOKUP(INPUTS!$D69,'Crop parameters'!$A$2:$Z$43,8,FALSE)*1000</f>
        <v>0</v>
      </c>
      <c r="P9" s="39">
        <f>INPUTS!F84</f>
        <v>0</v>
      </c>
      <c r="Q9" s="39">
        <f>INPUTS!E84</f>
        <v>1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Parameters'!C$348</f>
        <v>1</v>
      </c>
      <c r="AE9" s="39"/>
      <c r="AF9" s="283">
        <f>VLOOKUP(A9,'Crop parameters'!$A$2:$Z$43,10, FALSE)</f>
        <v>0</v>
      </c>
      <c r="AG9" s="283">
        <f>VLOOKUP(A9,'Crop parameters'!$A$2:$Z$43,11, FALSE)</f>
        <v>0</v>
      </c>
      <c r="AH9" s="185"/>
      <c r="AI9" s="39">
        <f t="shared" ref="AI9:AI15" si="1">Fertilizer_N_applied(F9,D9)</f>
        <v>0</v>
      </c>
      <c r="AJ9" s="39" t="s">
        <v>764</v>
      </c>
      <c r="AK9" s="39">
        <f>K9</f>
        <v>0</v>
      </c>
      <c r="AL9" s="39" t="s">
        <v>765</v>
      </c>
      <c r="AM9" s="39">
        <f>Atm_Ndeposition(V9,D9)</f>
        <v>0</v>
      </c>
      <c r="AN9" s="39" t="s">
        <v>766</v>
      </c>
      <c r="AO9" s="523">
        <f>IF(D9&gt;0, Non_Symbiotic_Nfixation(V9,D9),0)</f>
        <v>0</v>
      </c>
      <c r="AP9" s="192">
        <f>Symbiotic_Nfixation(B9,D9)</f>
        <v>0</v>
      </c>
      <c r="AQ9" s="39" t="s">
        <v>767</v>
      </c>
      <c r="AR9" s="185"/>
      <c r="AS9" s="39">
        <f t="shared" ref="AS9:AS15" si="2">D9*R9*AF9</f>
        <v>0</v>
      </c>
      <c r="AT9" s="39" t="s">
        <v>768</v>
      </c>
      <c r="AU9" s="186" t="s">
        <v>769</v>
      </c>
      <c r="AV9" s="39">
        <f>IF(INPUTS!$E69="Main", 0, N_output_Residues(T9,AG9,D9))</f>
        <v>0</v>
      </c>
      <c r="AW9" s="39" t="s">
        <v>770</v>
      </c>
      <c r="AX9" s="303">
        <f t="shared" ref="AX9:AX15" si="3">N_leach_clay35OR_less(Y9,F9,AK9,V9)</f>
        <v>0.79158869999999992</v>
      </c>
      <c r="AY9" s="303" t="s">
        <v>772</v>
      </c>
      <c r="AZ9" s="304">
        <f t="shared" ref="AZ9:AZ15" si="4">N_leach_clay35to55(Y9,F9,AK9,V9)</f>
        <v>0.54836999999999991</v>
      </c>
      <c r="BA9" s="303"/>
      <c r="BB9" s="303" t="s">
        <v>771</v>
      </c>
      <c r="BC9" s="303">
        <f t="shared" ref="BC9:BC15" si="5">N_leach_clay55Or_more(Y9,F9,AK9,V9)</f>
        <v>0.41417999999999999</v>
      </c>
      <c r="BD9" s="39" t="s">
        <v>773</v>
      </c>
      <c r="BE9" s="39">
        <f>'Area Parameters'!D$7</f>
        <v>34</v>
      </c>
      <c r="BF9" s="287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774</v>
      </c>
      <c r="BI9" s="39">
        <f>('Soil erosion'!I4*W9*1.5)</f>
        <v>0</v>
      </c>
      <c r="BJ9" t="s">
        <v>786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572">
        <f>SUMIF(BU9:BU15,"&gt;0.9",BS9:BS15)*100/BS16</f>
        <v>45.465584571375821</v>
      </c>
      <c r="BW9" s="572">
        <f>SUMIF(BU9:BU15,"&lt;0.5",BS9:BS15)*100/BS16</f>
        <v>0</v>
      </c>
      <c r="BX9" s="341">
        <f t="shared" ref="BX9:BX15" si="11">IF(O9*D9&gt;0,O9*D9,N9*D9)</f>
        <v>0</v>
      </c>
      <c r="BY9" s="341">
        <f t="shared" ref="BY9:BY15" si="12">IF(O9*D9&gt;0,N9*D9,0)</f>
        <v>0</v>
      </c>
      <c r="BZ9" s="676" t="str">
        <f>IFERROR(BY9/BX9,"")</f>
        <v/>
      </c>
    </row>
    <row r="10" spans="1:78">
      <c r="A10" t="str">
        <f>INPUTS!D70</f>
        <v>Pennisetum purpureum</v>
      </c>
      <c r="B10" s="39">
        <f>VLOOKUP(A10,'Crop parameters'!$A$2:$Z$43,13,FALSE)</f>
        <v>0</v>
      </c>
      <c r="C10" s="39"/>
      <c r="D10" s="39">
        <f>'Land requirements'!F5</f>
        <v>3.0544411906916535E-2</v>
      </c>
      <c r="E10" s="39"/>
      <c r="F10" s="39">
        <f>INPUTS!E94</f>
        <v>15</v>
      </c>
      <c r="G10" s="39"/>
      <c r="H10" s="39">
        <f>IFERROR(Feed!$P$175*(S10+U10)/($S$16+$U$16),0)</f>
        <v>0</v>
      </c>
      <c r="I10" s="39">
        <f>Feed!$R$175*INPUTS!F94</f>
        <v>16.25735109901871</v>
      </c>
      <c r="J10" s="39">
        <f>Feed!$T$175*INPUTS!F94</f>
        <v>0</v>
      </c>
      <c r="K10" s="39">
        <f t="shared" ref="K10:K15" si="13">H10+I10+J10</f>
        <v>16.25735109901871</v>
      </c>
      <c r="L10" s="39">
        <f t="shared" si="0"/>
        <v>532.25287651838414</v>
      </c>
      <c r="M10" s="39"/>
      <c r="N10" s="39">
        <f>VLOOKUP(INPUTS!$D70,'Crop parameters'!$A$2:$Z$43,4, FALSE)*1000</f>
        <v>22050</v>
      </c>
      <c r="O10" s="39">
        <f>VLOOKUP(INPUTS!$D70,'Crop parameters'!$A$2:$Z$43,8,FALSE)*1000</f>
        <v>11666.666666666662</v>
      </c>
      <c r="P10" s="39">
        <f>INPUTS!F85</f>
        <v>0</v>
      </c>
      <c r="Q10" s="39">
        <f>INPUTS!E85</f>
        <v>1</v>
      </c>
      <c r="R10" s="39">
        <f t="shared" ref="R10:R15" si="14">N10*Q10</f>
        <v>22050</v>
      </c>
      <c r="S10" s="39">
        <f t="shared" ref="S10:S15" si="15">R10*D10</f>
        <v>673.50428254750966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8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Parameters'!C$348</f>
        <v>1</v>
      </c>
      <c r="AE10" s="39"/>
      <c r="AF10" s="283">
        <f>VLOOKUP(A10,'Crop parameters'!$A$2:$Z$43,10, FALSE)</f>
        <v>1.2800000000000001E-2</v>
      </c>
      <c r="AG10" s="283">
        <f>VLOOKUP(A10,'Crop parameters'!$A$2:$Z$43,11, FALSE)</f>
        <v>0</v>
      </c>
      <c r="AH10" s="185"/>
      <c r="AI10" s="39">
        <f t="shared" si="1"/>
        <v>0.45816617860374803</v>
      </c>
      <c r="AJ10" s="39" t="s">
        <v>764</v>
      </c>
      <c r="AK10" s="39">
        <f t="shared" ref="AK10:AK15" si="19">K10</f>
        <v>16.25735109901871</v>
      </c>
      <c r="AL10" s="39" t="s">
        <v>765</v>
      </c>
      <c r="AM10" s="39">
        <f t="shared" ref="AM10:AM15" si="20">Atm_Ndeposition(V10,D10)*$C$4/365</f>
        <v>0.16000141421065228</v>
      </c>
      <c r="AN10" s="39" t="s">
        <v>766</v>
      </c>
      <c r="AO10" s="523">
        <f>IF(D10&gt;0, Non_Symbiotic_Nfixation(V10,D10),0)</f>
        <v>6.8724926790562205E-2</v>
      </c>
      <c r="AP10" s="192">
        <f>Symbiotic_Nfixation(B10,D10)</f>
        <v>0</v>
      </c>
      <c r="AQ10" s="39" t="s">
        <v>767</v>
      </c>
      <c r="AR10" s="185"/>
      <c r="AS10" s="39">
        <f t="shared" si="2"/>
        <v>8.6208548166081247</v>
      </c>
      <c r="AT10" s="39" t="s">
        <v>768</v>
      </c>
      <c r="AU10" s="186" t="s">
        <v>769</v>
      </c>
      <c r="AV10" s="39">
        <f>IF(INPUTS!$E70="Main", 0, N_output_Residues(T10,AG10,D10))</f>
        <v>0</v>
      </c>
      <c r="AW10" s="39" t="s">
        <v>770</v>
      </c>
      <c r="AX10" s="303">
        <f t="shared" si="3"/>
        <v>9.9556501525614056</v>
      </c>
      <c r="AY10" s="303" t="s">
        <v>772</v>
      </c>
      <c r="AZ10" s="304">
        <f t="shared" si="4"/>
        <v>6.8967380082106997</v>
      </c>
      <c r="BA10" s="303"/>
      <c r="BB10" s="303" t="s">
        <v>771</v>
      </c>
      <c r="BC10" s="303">
        <f t="shared" si="5"/>
        <v>5.2090576585894706</v>
      </c>
      <c r="BD10" s="39" t="s">
        <v>773</v>
      </c>
      <c r="BE10" s="39">
        <f>'Area Parameters'!D$7</f>
        <v>34</v>
      </c>
      <c r="BF10" s="287">
        <f t="shared" si="6"/>
        <v>9.9556501525614056</v>
      </c>
      <c r="BG10" s="39">
        <f t="shared" si="7"/>
        <v>1.5151784445173562</v>
      </c>
      <c r="BH10" s="39" t="s">
        <v>774</v>
      </c>
      <c r="BI10" s="39">
        <f>('Soil erosion'!I5*W10*1.5)</f>
        <v>1.5457665513674688E-2</v>
      </c>
      <c r="BJ10" t="s">
        <v>786</v>
      </c>
      <c r="BL10" s="39">
        <f t="shared" ref="BL10:BL15" si="21">IF(D10&gt;0,SUM(AI10:AP10),0)</f>
        <v>16.94424361862367</v>
      </c>
      <c r="BM10" s="39">
        <f t="shared" ref="BM10:BM15" si="22">IF(D10&gt;0,SUM(AS10,AV10,BF10,BG10,BI10),0)</f>
        <v>20.107141079200563</v>
      </c>
      <c r="BN10" s="39">
        <f t="shared" ref="BN10:BN15" si="23">BL10-BM10</f>
        <v>-3.1628974605768931</v>
      </c>
      <c r="BO10" s="39">
        <f t="shared" si="8"/>
        <v>-103.55077289475265</v>
      </c>
      <c r="BP10" s="39">
        <f t="shared" ref="BP10:BP15" si="24">IF(BN10=0,0,IF(AV10=0,BN10,BN10*(AV10/(AV10+AS10))))</f>
        <v>-3.1628974605768931</v>
      </c>
      <c r="BQ10" s="39">
        <f t="shared" si="9"/>
        <v>-103.55077289475265</v>
      </c>
      <c r="BS10" s="39">
        <f t="shared" si="10"/>
        <v>3.0544411906916535E-2</v>
      </c>
      <c r="BT10" s="39"/>
      <c r="BU10" s="39">
        <f t="shared" ref="BU10:BU15" si="25">IFERROR(BM10/BL10,"")</f>
        <v>1.1866650133087384</v>
      </c>
      <c r="BX10" s="341">
        <f t="shared" si="11"/>
        <v>356.35147224735942</v>
      </c>
      <c r="BY10" s="341">
        <f t="shared" si="12"/>
        <v>673.50428254750966</v>
      </c>
      <c r="BZ10" s="676">
        <f t="shared" ref="BZ10:BZ16" si="26">IFERROR(BY10/BX10,"")</f>
        <v>1.890000000000001</v>
      </c>
    </row>
    <row r="11" spans="1:78">
      <c r="A11" t="str">
        <f>INPUTS!D71</f>
        <v>Rhodes</v>
      </c>
      <c r="B11" s="39">
        <f>VLOOKUP(A11,'Crop parameters'!$A$2:$Z$43,13,FALSE)</f>
        <v>0</v>
      </c>
      <c r="C11" s="39"/>
      <c r="D11" s="39">
        <f>'Land requirements'!F6</f>
        <v>0.20199547275614554</v>
      </c>
      <c r="E11" s="39"/>
      <c r="F11" s="39">
        <f>INPUTS!E95</f>
        <v>15</v>
      </c>
      <c r="G11" s="39"/>
      <c r="H11" s="39">
        <f>IFERROR(Feed!$P$175*(S11+U11)/($S$16+$U$16),0)</f>
        <v>0</v>
      </c>
      <c r="I11" s="39">
        <f>Feed!$R$175*INPUTS!F95</f>
        <v>16.25735109901871</v>
      </c>
      <c r="J11" s="39">
        <f>Feed!$T$175*INPUTS!F95</f>
        <v>0</v>
      </c>
      <c r="K11" s="39">
        <f t="shared" si="13"/>
        <v>16.25735109901871</v>
      </c>
      <c r="L11" s="39">
        <f t="shared" si="0"/>
        <v>80.483739943246292</v>
      </c>
      <c r="M11" s="39"/>
      <c r="N11" s="39">
        <f>VLOOKUP(INPUTS!$D71,'Crop parameters'!$A$2:$Z$43,4, FALSE)*1000</f>
        <v>13500</v>
      </c>
      <c r="O11" s="39">
        <f>VLOOKUP(INPUTS!$D71,'Crop parameters'!$A$2:$Z$43,8,FALSE)*1000</f>
        <v>5999.9999999999982</v>
      </c>
      <c r="P11" s="39">
        <f>INPUTS!F86</f>
        <v>0</v>
      </c>
      <c r="Q11" s="39">
        <f>INPUTS!E86</f>
        <v>1</v>
      </c>
      <c r="R11" s="39">
        <f t="shared" si="14"/>
        <v>13500</v>
      </c>
      <c r="S11" s="39">
        <f t="shared" si="15"/>
        <v>2726.938882207965</v>
      </c>
      <c r="T11" s="39">
        <f t="shared" si="16"/>
        <v>0</v>
      </c>
      <c r="U11" s="39">
        <f t="shared" si="17"/>
        <v>0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8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Parameters'!C$348</f>
        <v>1</v>
      </c>
      <c r="AE11" s="39"/>
      <c r="AF11" s="283">
        <f>VLOOKUP(A11,'Crop parameters'!$A$2:$Z$43,10, FALSE)</f>
        <v>1.44E-2</v>
      </c>
      <c r="AG11" s="283">
        <f>VLOOKUP(A11,'Crop parameters'!$A$2:$Z$43,11, FALSE)</f>
        <v>0</v>
      </c>
      <c r="AH11" s="185"/>
      <c r="AI11" s="39">
        <f t="shared" si="1"/>
        <v>3.0299320913421832</v>
      </c>
      <c r="AJ11" s="39" t="s">
        <v>764</v>
      </c>
      <c r="AK11" s="39">
        <f t="shared" si="19"/>
        <v>16.25735109901871</v>
      </c>
      <c r="AL11" s="39" t="s">
        <v>765</v>
      </c>
      <c r="AM11" s="39">
        <f t="shared" si="20"/>
        <v>1.058116993826097</v>
      </c>
      <c r="AN11" s="39" t="s">
        <v>766</v>
      </c>
      <c r="AO11" s="523">
        <f>IF(D11&gt;0, Non_Symbiotic_Nfixation(V11,D11),0)</f>
        <v>0.45448981370132746</v>
      </c>
      <c r="AP11" s="192">
        <f>Symbiotic_Nfixation(B11,D11)</f>
        <v>0</v>
      </c>
      <c r="AQ11" s="39" t="s">
        <v>767</v>
      </c>
      <c r="AR11" s="185"/>
      <c r="AS11" s="39">
        <f t="shared" si="2"/>
        <v>39.267919903794692</v>
      </c>
      <c r="AT11" s="39" t="s">
        <v>768</v>
      </c>
      <c r="AU11" s="186" t="s">
        <v>769</v>
      </c>
      <c r="AV11" s="39">
        <f>IF(INPUTS!$E71="Main", 0, N_output_Residues(T11,AG11,D11))</f>
        <v>0</v>
      </c>
      <c r="AW11" s="39" t="s">
        <v>770</v>
      </c>
      <c r="AX11" s="303">
        <f t="shared" si="3"/>
        <v>9.9556501525614056</v>
      </c>
      <c r="AY11" s="303" t="s">
        <v>772</v>
      </c>
      <c r="AZ11" s="304">
        <f t="shared" si="4"/>
        <v>6.8967380082106997</v>
      </c>
      <c r="BA11" s="303"/>
      <c r="BB11" s="303" t="s">
        <v>771</v>
      </c>
      <c r="BC11" s="303">
        <f t="shared" si="5"/>
        <v>5.2090576585894706</v>
      </c>
      <c r="BD11" s="39" t="s">
        <v>773</v>
      </c>
      <c r="BE11" s="39">
        <f>'Area Parameters'!D$7</f>
        <v>34</v>
      </c>
      <c r="BF11" s="287">
        <f t="shared" si="6"/>
        <v>9.9556501525614056</v>
      </c>
      <c r="BG11" s="39">
        <f t="shared" si="7"/>
        <v>1.7889069212055841</v>
      </c>
      <c r="BH11" s="39" t="s">
        <v>774</v>
      </c>
      <c r="BI11" s="39">
        <f>('Soil erosion'!I6*W11*1.5)</f>
        <v>0.10222421248955355</v>
      </c>
      <c r="BJ11" t="s">
        <v>786</v>
      </c>
      <c r="BL11" s="39">
        <f t="shared" si="21"/>
        <v>20.799889997888318</v>
      </c>
      <c r="BM11" s="39">
        <f t="shared" si="22"/>
        <v>51.114701190051235</v>
      </c>
      <c r="BN11" s="39">
        <f t="shared" si="23"/>
        <v>-30.314811192162917</v>
      </c>
      <c r="BO11" s="39">
        <f t="shared" si="8"/>
        <v>-150.07668626692336</v>
      </c>
      <c r="BP11" s="39">
        <f t="shared" si="24"/>
        <v>-30.314811192162917</v>
      </c>
      <c r="BQ11" s="39">
        <f t="shared" si="9"/>
        <v>-150.07668626692336</v>
      </c>
      <c r="BS11" s="39">
        <f t="shared" si="10"/>
        <v>0.20199547275614554</v>
      </c>
      <c r="BT11" s="39"/>
      <c r="BU11" s="39">
        <f t="shared" si="25"/>
        <v>2.4574505535962254</v>
      </c>
      <c r="BX11" s="341">
        <f t="shared" si="11"/>
        <v>1211.9728365368728</v>
      </c>
      <c r="BY11" s="341">
        <f t="shared" si="12"/>
        <v>2726.938882207965</v>
      </c>
      <c r="BZ11" s="676">
        <f t="shared" si="26"/>
        <v>2.2500000000000009</v>
      </c>
    </row>
    <row r="12" spans="1:78">
      <c r="A12" t="str">
        <f>INPUTS!D72</f>
        <v>Guatemala</v>
      </c>
      <c r="B12" s="39">
        <f>VLOOKUP(A12,'Crop parameters'!$A$2:$Z$43,13,FALSE)</f>
        <v>0</v>
      </c>
      <c r="C12" s="39"/>
      <c r="D12" s="39">
        <f>'Land requirements'!F7</f>
        <v>6.7917828725135729E-2</v>
      </c>
      <c r="E12" s="39"/>
      <c r="F12" s="39">
        <f>INPUTS!E96</f>
        <v>15</v>
      </c>
      <c r="G12" s="39"/>
      <c r="H12" s="39">
        <f>IFERROR(Feed!$P$175*(S12+U12)/($S$16+$U$16),0)</f>
        <v>0</v>
      </c>
      <c r="I12" s="39">
        <f>Feed!$R$175*INPUTS!F96</f>
        <v>16.25735109901871</v>
      </c>
      <c r="J12" s="39">
        <f>Feed!$T$175*INPUTS!F96</f>
        <v>0</v>
      </c>
      <c r="K12" s="39">
        <f t="shared" si="13"/>
        <v>16.25735109901871</v>
      </c>
      <c r="L12" s="39">
        <f t="shared" si="0"/>
        <v>239.36794512104333</v>
      </c>
      <c r="M12" s="39"/>
      <c r="N12" s="39">
        <f>VLOOKUP(INPUTS!$D72,'Crop parameters'!$A$2:$Z$43,4, FALSE)*1000</f>
        <v>19800</v>
      </c>
      <c r="O12" s="39">
        <f>VLOOKUP(INPUTS!$D72,'Crop parameters'!$A$2:$Z$43,8,FALSE)*1000</f>
        <v>9999.9999999999964</v>
      </c>
      <c r="P12" s="39">
        <f>INPUTS!F87</f>
        <v>0</v>
      </c>
      <c r="Q12" s="39">
        <f>INPUTS!E87</f>
        <v>1</v>
      </c>
      <c r="R12" s="39">
        <f t="shared" si="14"/>
        <v>19800</v>
      </c>
      <c r="S12" s="39">
        <f t="shared" si="15"/>
        <v>1344.7730087576874</v>
      </c>
      <c r="T12" s="39">
        <f t="shared" si="16"/>
        <v>0</v>
      </c>
      <c r="U12" s="39">
        <f t="shared" si="17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8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Parameters'!C$348</f>
        <v>1</v>
      </c>
      <c r="AE12" s="39"/>
      <c r="AF12" s="283">
        <f>VLOOKUP(A12,'Crop parameters'!$A$2:$Z$43,10, FALSE)</f>
        <v>1.4080000000000002E-2</v>
      </c>
      <c r="AG12" s="283">
        <f>VLOOKUP(A12,'Crop parameters'!$A$2:$Z$43,11, FALSE)</f>
        <v>0</v>
      </c>
      <c r="AH12" s="185"/>
      <c r="AI12" s="39">
        <f t="shared" si="1"/>
        <v>1.018767430877036</v>
      </c>
      <c r="AJ12" s="39" t="s">
        <v>764</v>
      </c>
      <c r="AK12" s="39">
        <f t="shared" si="19"/>
        <v>16.25735109901871</v>
      </c>
      <c r="AL12" s="39" t="s">
        <v>765</v>
      </c>
      <c r="AM12" s="39">
        <f t="shared" si="20"/>
        <v>0.35577534376027214</v>
      </c>
      <c r="AN12" s="39" t="s">
        <v>766</v>
      </c>
      <c r="AO12" s="523">
        <f>IF(D12&gt;0, Non_Symbiotic_Nfixation(V12,D12),0)</f>
        <v>0.15281511463155539</v>
      </c>
      <c r="AP12" s="192">
        <f>IFERROR(Symbiotic_Nfixation(B12,D12),0)</f>
        <v>0</v>
      </c>
      <c r="AQ12" s="39" t="s">
        <v>767</v>
      </c>
      <c r="AR12" s="185"/>
      <c r="AS12" s="39">
        <f t="shared" si="2"/>
        <v>18.934403963308242</v>
      </c>
      <c r="AT12" s="39" t="s">
        <v>768</v>
      </c>
      <c r="AU12" s="186" t="s">
        <v>769</v>
      </c>
      <c r="AV12" s="39">
        <f>IF(INPUTS!$E72="Main", 0, N_output_Residues(T12,AG12,D12))</f>
        <v>0</v>
      </c>
      <c r="AW12" s="39" t="s">
        <v>770</v>
      </c>
      <c r="AX12" s="303">
        <f t="shared" si="3"/>
        <v>9.9556501525614056</v>
      </c>
      <c r="AY12" s="303" t="s">
        <v>772</v>
      </c>
      <c r="AZ12" s="304">
        <f t="shared" si="4"/>
        <v>6.8967380082106997</v>
      </c>
      <c r="BA12" s="303"/>
      <c r="BB12" s="303" t="s">
        <v>771</v>
      </c>
      <c r="BC12" s="303">
        <f t="shared" si="5"/>
        <v>5.2090576585894706</v>
      </c>
      <c r="BD12" s="39" t="s">
        <v>773</v>
      </c>
      <c r="BE12" s="39">
        <f>'Area Parameters'!D$7</f>
        <v>34</v>
      </c>
      <c r="BF12" s="287">
        <f t="shared" si="6"/>
        <v>9.9556501525614056</v>
      </c>
      <c r="BG12" s="39">
        <f t="shared" si="7"/>
        <v>1.5748465994043159</v>
      </c>
      <c r="BH12" s="39" t="s">
        <v>774</v>
      </c>
      <c r="BI12" s="39">
        <f>('Soil erosion'!I7*W12*1.5)</f>
        <v>0.17185648917510574</v>
      </c>
      <c r="BJ12" t="s">
        <v>786</v>
      </c>
      <c r="BL12" s="39">
        <f t="shared" si="21"/>
        <v>17.784708988287573</v>
      </c>
      <c r="BM12" s="39">
        <f t="shared" si="22"/>
        <v>30.636757204449069</v>
      </c>
      <c r="BN12" s="39">
        <f t="shared" si="23"/>
        <v>-12.852048216161496</v>
      </c>
      <c r="BO12" s="39">
        <f t="shared" si="8"/>
        <v>-189.22937404512575</v>
      </c>
      <c r="BP12" s="39">
        <f t="shared" si="24"/>
        <v>-12.852048216161496</v>
      </c>
      <c r="BQ12" s="39">
        <f t="shared" si="9"/>
        <v>-189.22937404512575</v>
      </c>
      <c r="BS12" s="39">
        <f t="shared" si="10"/>
        <v>6.7917828725135729E-2</v>
      </c>
      <c r="BT12" s="39"/>
      <c r="BU12" s="39">
        <f t="shared" si="25"/>
        <v>1.7226459665224454</v>
      </c>
      <c r="BX12" s="341">
        <f t="shared" si="11"/>
        <v>679.17828725135701</v>
      </c>
      <c r="BY12" s="341">
        <f t="shared" si="12"/>
        <v>1344.7730087576874</v>
      </c>
      <c r="BZ12" s="676">
        <f t="shared" si="26"/>
        <v>1.9800000000000009</v>
      </c>
    </row>
    <row r="13" spans="1:78">
      <c r="A13" t="str">
        <f>INPUTS!D73</f>
        <v>Maize</v>
      </c>
      <c r="B13" s="39">
        <f>VLOOKUP(A13,'Crop parameters'!$A$2:$Z$43,13,FALSE)</f>
        <v>0</v>
      </c>
      <c r="C13" s="39"/>
      <c r="D13" s="39">
        <f>'Land requirements'!F8</f>
        <v>0.96211631601388448</v>
      </c>
      <c r="E13" s="39"/>
      <c r="F13" s="39">
        <f>INPUTS!E97</f>
        <v>15</v>
      </c>
      <c r="G13" s="39"/>
      <c r="H13" s="39">
        <f>IFERROR(Feed!$P$175*(S13+U13)/($S$16+$U$16),0)</f>
        <v>0</v>
      </c>
      <c r="I13" s="39">
        <f>Feed!$R$175*INPUTS!F97</f>
        <v>24.386026648528063</v>
      </c>
      <c r="J13" s="39">
        <f>Feed!$T$175*INPUTS!F97</f>
        <v>0</v>
      </c>
      <c r="K13" s="39">
        <f t="shared" si="13"/>
        <v>24.386026648528063</v>
      </c>
      <c r="L13" s="39">
        <f t="shared" si="0"/>
        <v>25.346235421472826</v>
      </c>
      <c r="M13" s="39"/>
      <c r="N13" s="39">
        <f>VLOOKUP(INPUTS!$D73,'Crop parameters'!$A$2:$Z$43,4, FALSE)*1000</f>
        <v>1299</v>
      </c>
      <c r="O13" s="39">
        <f>VLOOKUP(INPUTS!$D73,'Crop parameters'!$A$2:$Z$43,8,FALSE)*1000</f>
        <v>3582.4421538461534</v>
      </c>
      <c r="P13" s="39">
        <f>INPUTS!F88</f>
        <v>0.6</v>
      </c>
      <c r="Q13" s="39">
        <f>INPUTS!E88</f>
        <v>0.4</v>
      </c>
      <c r="R13" s="39">
        <f t="shared" si="14"/>
        <v>519.6</v>
      </c>
      <c r="S13" s="39">
        <f t="shared" si="15"/>
        <v>499.91563780081441</v>
      </c>
      <c r="T13" s="39">
        <f t="shared" si="16"/>
        <v>2149.4652923076919</v>
      </c>
      <c r="U13" s="39">
        <f t="shared" si="17"/>
        <v>2068.035628434784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8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Parameters'!C$348</f>
        <v>1</v>
      </c>
      <c r="AE13" s="39"/>
      <c r="AF13" s="283">
        <f>VLOOKUP(A13,'Crop parameters'!$A$2:$Z$43,10, FALSE)</f>
        <v>1.2800000000000001E-2</v>
      </c>
      <c r="AG13" s="283">
        <f>VLOOKUP(A13,'Crop parameters'!$A$2:$Z$43,11, FALSE)</f>
        <v>5.9200000000000008E-3</v>
      </c>
      <c r="AH13" s="185"/>
      <c r="AI13" s="39">
        <f t="shared" si="1"/>
        <v>14.431744740208266</v>
      </c>
      <c r="AJ13" s="39" t="s">
        <v>764</v>
      </c>
      <c r="AK13" s="39">
        <f t="shared" si="19"/>
        <v>24.386026648528063</v>
      </c>
      <c r="AL13" s="39" t="s">
        <v>765</v>
      </c>
      <c r="AM13" s="39">
        <f t="shared" si="20"/>
        <v>5.0398734690487164</v>
      </c>
      <c r="AN13" s="39" t="s">
        <v>766</v>
      </c>
      <c r="AO13" s="523">
        <f>IF(D13&gt;0, Non_Symbiotic_Nfixation(V13,D13),0)</f>
        <v>2.16476171103124</v>
      </c>
      <c r="AP13" s="192">
        <f>IFERROR(Symbiotic_Nfixation(B13,D13),0)</f>
        <v>0</v>
      </c>
      <c r="AQ13" s="39" t="s">
        <v>767</v>
      </c>
      <c r="AR13" s="185"/>
      <c r="AS13" s="39">
        <f t="shared" si="2"/>
        <v>6.3989201638504252</v>
      </c>
      <c r="AT13" s="39" t="s">
        <v>768</v>
      </c>
      <c r="AU13" s="186" t="s">
        <v>769</v>
      </c>
      <c r="AV13" s="39">
        <f>IF(INPUTS!$E73="Main", 0, N_output_Residues(T13,AG13,D13))</f>
        <v>12.242770920333923</v>
      </c>
      <c r="AW13" s="39" t="s">
        <v>770</v>
      </c>
      <c r="AX13" s="303">
        <f t="shared" si="3"/>
        <v>12.338823378842106</v>
      </c>
      <c r="AY13" s="303" t="s">
        <v>772</v>
      </c>
      <c r="AZ13" s="304">
        <f t="shared" si="4"/>
        <v>8.547672012316049</v>
      </c>
      <c r="BA13" s="303"/>
      <c r="BB13" s="303" t="s">
        <v>771</v>
      </c>
      <c r="BC13" s="303">
        <f t="shared" si="5"/>
        <v>6.4559964878842049</v>
      </c>
      <c r="BD13" s="39" t="s">
        <v>773</v>
      </c>
      <c r="BE13" s="39">
        <f>'Area Parameters'!D$7</f>
        <v>34</v>
      </c>
      <c r="BF13" s="287">
        <f t="shared" si="6"/>
        <v>12.338823378842106</v>
      </c>
      <c r="BG13" s="39">
        <f t="shared" si="7"/>
        <v>3.7356767868660383</v>
      </c>
      <c r="BH13" s="39" t="s">
        <v>774</v>
      </c>
      <c r="BI13" s="39">
        <f>('Soil erosion'!I8*W13*1.5)</f>
        <v>4.8689993585451541</v>
      </c>
      <c r="BJ13" t="s">
        <v>786</v>
      </c>
      <c r="BL13" s="39">
        <f t="shared" si="21"/>
        <v>46.022406568816287</v>
      </c>
      <c r="BM13" s="39">
        <f t="shared" si="22"/>
        <v>39.585190608437642</v>
      </c>
      <c r="BN13" s="39">
        <f t="shared" si="23"/>
        <v>6.4372159603786443</v>
      </c>
      <c r="BO13" s="39">
        <f t="shared" si="8"/>
        <v>6.6906837076087458</v>
      </c>
      <c r="BP13" s="39">
        <f t="shared" si="24"/>
        <v>4.2275864357872077</v>
      </c>
      <c r="BQ13" s="39">
        <f t="shared" si="9"/>
        <v>4.3940492073789947</v>
      </c>
      <c r="BS13" s="39">
        <f t="shared" si="10"/>
        <v>0.96211631601388448</v>
      </c>
      <c r="BT13" s="39"/>
      <c r="BU13" s="39">
        <f t="shared" si="25"/>
        <v>0.8601286538383599</v>
      </c>
      <c r="BX13" s="341">
        <f t="shared" si="11"/>
        <v>3446.7260473913066</v>
      </c>
      <c r="BY13" s="341">
        <f t="shared" si="12"/>
        <v>1249.7890945020358</v>
      </c>
      <c r="BZ13" s="676">
        <f t="shared" si="26"/>
        <v>0.36260180743054782</v>
      </c>
    </row>
    <row r="14" spans="1:78">
      <c r="A14" t="str">
        <f>INPUTS!D74</f>
        <v>Natural pasture</v>
      </c>
      <c r="B14" s="39">
        <f>VLOOKUP(A14,'Crop parameters'!$A$2:$Z$43,13,FALSE)</f>
        <v>0</v>
      </c>
      <c r="C14" s="39"/>
      <c r="D14" s="39">
        <f>'Land requirements'!F9</f>
        <v>0.50166293628635195</v>
      </c>
      <c r="E14" s="39"/>
      <c r="F14" s="39">
        <f>INPUTS!E98</f>
        <v>15</v>
      </c>
      <c r="G14" s="39"/>
      <c r="H14" s="39">
        <f>IFERROR(Feed!$P$175*(S14+U14)/($S$16+$U$16),0)</f>
        <v>0</v>
      </c>
      <c r="I14" s="39">
        <f>Feed!$R$175*INPUTS!F98</f>
        <v>0</v>
      </c>
      <c r="J14" s="39">
        <f>Feed!$T$175*INPUTS!F98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VLOOKUP(INPUTS!$D74,'Crop parameters'!$A$2:$Z$43,4, FALSE)*1000</f>
        <v>13049.999999999998</v>
      </c>
      <c r="O14" s="39">
        <f>VLOOKUP(INPUTS!$D74,'Crop parameters'!$A$2:$Z$43,8,FALSE)*1000</f>
        <v>4999.9999999999982</v>
      </c>
      <c r="P14" s="39">
        <f>INPUTS!F89</f>
        <v>0</v>
      </c>
      <c r="Q14" s="39">
        <f>INPUTS!E89</f>
        <v>1</v>
      </c>
      <c r="R14" s="39">
        <f t="shared" si="14"/>
        <v>13049.999999999998</v>
      </c>
      <c r="S14" s="39">
        <f t="shared" si="15"/>
        <v>6546.7013185368924</v>
      </c>
      <c r="T14" s="39">
        <f t="shared" si="16"/>
        <v>0</v>
      </c>
      <c r="U14" s="39">
        <f t="shared" si="17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8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Parameters'!C$348</f>
        <v>1</v>
      </c>
      <c r="AE14" s="39"/>
      <c r="AF14" s="283">
        <f>VLOOKUP(A14,'Crop parameters'!$A$2:$Z$43,10, FALSE)</f>
        <v>0.01</v>
      </c>
      <c r="AG14" s="283">
        <f>VLOOKUP(A14,'Crop parameters'!$A$2:$Z$43,11, FALSE)</f>
        <v>0</v>
      </c>
      <c r="AH14" s="185"/>
      <c r="AI14" s="39">
        <f t="shared" si="1"/>
        <v>7.5249440442952791</v>
      </c>
      <c r="AJ14" s="39" t="s">
        <v>764</v>
      </c>
      <c r="AK14" s="39">
        <f t="shared" si="19"/>
        <v>0</v>
      </c>
      <c r="AL14" s="39" t="s">
        <v>765</v>
      </c>
      <c r="AM14" s="39">
        <f t="shared" si="20"/>
        <v>2.6278711637171477</v>
      </c>
      <c r="AN14" s="39" t="s">
        <v>766</v>
      </c>
      <c r="AO14" s="523">
        <f>IF(D14&gt;0, Non_Symbiotic_Nfixation(V14,D14),0)</f>
        <v>1.1287416066442919</v>
      </c>
      <c r="AP14" s="192">
        <f>IFERROR(Symbiotic_Nfixation(B14,D14),0)</f>
        <v>0</v>
      </c>
      <c r="AQ14" s="39" t="s">
        <v>767</v>
      </c>
      <c r="AR14" s="185"/>
      <c r="AS14" s="39">
        <f t="shared" si="2"/>
        <v>65.467013185368927</v>
      </c>
      <c r="AT14" s="39" t="s">
        <v>768</v>
      </c>
      <c r="AU14" s="186" t="s">
        <v>769</v>
      </c>
      <c r="AV14" s="39">
        <f>IF(INPUTS!$E74="Main", 0, N_output_Residues(T14,AG14,D14))</f>
        <v>0</v>
      </c>
      <c r="AW14" s="39" t="s">
        <v>770</v>
      </c>
      <c r="AX14" s="303">
        <f t="shared" si="3"/>
        <v>5.1893037</v>
      </c>
      <c r="AY14" s="303" t="s">
        <v>772</v>
      </c>
      <c r="AZ14" s="304">
        <f t="shared" si="4"/>
        <v>3.5948700000000002</v>
      </c>
      <c r="BA14" s="303"/>
      <c r="BB14" s="303" t="s">
        <v>771</v>
      </c>
      <c r="BC14" s="303">
        <f t="shared" si="5"/>
        <v>2.7151800000000001</v>
      </c>
      <c r="BD14" s="39" t="s">
        <v>773</v>
      </c>
      <c r="BE14" s="39">
        <f>'Area Parameters'!D$7</f>
        <v>34</v>
      </c>
      <c r="BF14" s="287">
        <f t="shared" si="6"/>
        <v>5.1893037</v>
      </c>
      <c r="BG14" s="39">
        <f t="shared" si="7"/>
        <v>0.80092494429861238</v>
      </c>
      <c r="BH14" s="39" t="s">
        <v>774</v>
      </c>
      <c r="BI14" s="39">
        <f>('Soil erosion'!I9*W14*1.5)</f>
        <v>1.2693873257985975</v>
      </c>
      <c r="BJ14" t="s">
        <v>786</v>
      </c>
      <c r="BL14" s="39">
        <f t="shared" si="21"/>
        <v>11.281556814656719</v>
      </c>
      <c r="BM14" s="39">
        <f t="shared" si="22"/>
        <v>72.726629155466142</v>
      </c>
      <c r="BN14" s="39">
        <f t="shared" si="23"/>
        <v>-61.445072340809425</v>
      </c>
      <c r="BO14" s="39">
        <f t="shared" si="8"/>
        <v>-122.4827825544924</v>
      </c>
      <c r="BP14" s="39">
        <f t="shared" si="24"/>
        <v>-61.445072340809425</v>
      </c>
      <c r="BQ14" s="39">
        <f t="shared" si="9"/>
        <v>-122.4827825544924</v>
      </c>
      <c r="BS14" s="39">
        <f t="shared" si="10"/>
        <v>0.50166293628635195</v>
      </c>
      <c r="BT14" s="39"/>
      <c r="BU14" s="39">
        <f t="shared" si="25"/>
        <v>6.4465064840148223</v>
      </c>
      <c r="BX14" s="341">
        <f t="shared" si="11"/>
        <v>2508.3146814317588</v>
      </c>
      <c r="BY14" s="341">
        <f t="shared" si="12"/>
        <v>6546.7013185368924</v>
      </c>
      <c r="BZ14" s="676">
        <f t="shared" si="26"/>
        <v>2.6100000000000008</v>
      </c>
    </row>
    <row r="15" spans="1:78">
      <c r="A15" t="str">
        <f>INPUTS!D75</f>
        <v>N/A</v>
      </c>
      <c r="B15" s="39">
        <f>VLOOKUP(A15,'Crop parameters'!$A$2:$Z$43,13,FALSE)</f>
        <v>0</v>
      </c>
      <c r="C15" s="39"/>
      <c r="D15" s="39">
        <f>'Land requirements'!F10</f>
        <v>0</v>
      </c>
      <c r="E15" s="39"/>
      <c r="F15" s="39">
        <f>INPUTS!E99</f>
        <v>0</v>
      </c>
      <c r="G15" s="39"/>
      <c r="H15" s="39">
        <f>IFERROR(Feed!$P$175*(S15+U15)/($S$16+$U$16),0)</f>
        <v>0</v>
      </c>
      <c r="I15" s="39">
        <f>Feed!$R$175*INPUTS!F99</f>
        <v>0</v>
      </c>
      <c r="J15" s="39">
        <f>Feed!$T$175*INPUTS!F99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VLOOKUP(INPUTS!$D75,'Crop parameters'!$A$2:$Z$43,4, FALSE)*1000</f>
        <v>0</v>
      </c>
      <c r="O15" s="39">
        <f>VLOOKUP(INPUTS!$D75,'Crop parameters'!$A$2:$Z$43,8,FALSE)*1000</f>
        <v>0</v>
      </c>
      <c r="P15" s="39">
        <f>INPUTS!F90</f>
        <v>0</v>
      </c>
      <c r="Q15" s="39">
        <f>INPUTS!E90</f>
        <v>1</v>
      </c>
      <c r="R15" s="39">
        <f t="shared" si="14"/>
        <v>0</v>
      </c>
      <c r="S15" s="39">
        <f t="shared" si="15"/>
        <v>0</v>
      </c>
      <c r="T15" s="39">
        <f t="shared" si="16"/>
        <v>0</v>
      </c>
      <c r="U15" s="39">
        <f t="shared" si="17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8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Parameters'!C$348</f>
        <v>1</v>
      </c>
      <c r="AE15" s="39"/>
      <c r="AF15" s="283">
        <f>VLOOKUP(A15,'Crop parameters'!$A$2:$Z$43,10, FALSE)</f>
        <v>0</v>
      </c>
      <c r="AG15" s="283">
        <f>VLOOKUP(A15,'Crop parameters'!$A$2:$Z$43,11, FALSE)</f>
        <v>0</v>
      </c>
      <c r="AH15" s="185"/>
      <c r="AI15" s="39">
        <f t="shared" si="1"/>
        <v>0</v>
      </c>
      <c r="AJ15" s="39" t="s">
        <v>764</v>
      </c>
      <c r="AK15" s="39">
        <f t="shared" si="19"/>
        <v>0</v>
      </c>
      <c r="AL15" s="39" t="s">
        <v>765</v>
      </c>
      <c r="AM15" s="39">
        <f t="shared" si="20"/>
        <v>0</v>
      </c>
      <c r="AN15" s="39" t="s">
        <v>766</v>
      </c>
      <c r="AO15" s="523">
        <f>IF(D15&gt;0, Non_Symbiotic_Nfixation(V15,D15),0)</f>
        <v>0</v>
      </c>
      <c r="AP15" s="192">
        <f>IFERROR(Symbiotic_Nfixation(B15,D15),0)</f>
        <v>0</v>
      </c>
      <c r="AQ15" s="39" t="s">
        <v>767</v>
      </c>
      <c r="AR15" s="185"/>
      <c r="AS15" s="39">
        <f t="shared" si="2"/>
        <v>0</v>
      </c>
      <c r="AT15" s="39" t="s">
        <v>768</v>
      </c>
      <c r="AU15" s="186" t="s">
        <v>769</v>
      </c>
      <c r="AV15" s="39">
        <f>IF(INPUTS!$E75="Main", 0, N_output_Residues(T15,AG15,D15))</f>
        <v>0</v>
      </c>
      <c r="AW15" s="39" t="s">
        <v>770</v>
      </c>
      <c r="AX15" s="303">
        <f t="shared" si="3"/>
        <v>0.79158869999999992</v>
      </c>
      <c r="AY15" s="303" t="s">
        <v>772</v>
      </c>
      <c r="AZ15" s="304">
        <f t="shared" si="4"/>
        <v>0.54836999999999991</v>
      </c>
      <c r="BA15" s="303"/>
      <c r="BB15" s="303" t="s">
        <v>771</v>
      </c>
      <c r="BC15" s="303">
        <f t="shared" si="5"/>
        <v>0.41417999999999999</v>
      </c>
      <c r="BD15" s="39" t="s">
        <v>773</v>
      </c>
      <c r="BE15" s="39">
        <f>'Area Parameters'!D$7</f>
        <v>34</v>
      </c>
      <c r="BF15" s="287">
        <f t="shared" si="6"/>
        <v>0.79158869999999992</v>
      </c>
      <c r="BG15" s="39">
        <f t="shared" si="7"/>
        <v>0</v>
      </c>
      <c r="BH15" s="39" t="s">
        <v>774</v>
      </c>
      <c r="BI15" s="39">
        <f>('Soil erosion'!I10*W15*1.5)</f>
        <v>0</v>
      </c>
      <c r="BJ15" t="s">
        <v>786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39" t="str">
        <f t="shared" si="8"/>
        <v/>
      </c>
      <c r="BP15" s="39">
        <f t="shared" si="24"/>
        <v>0</v>
      </c>
      <c r="BQ15" s="39" t="str">
        <f t="shared" si="9"/>
        <v/>
      </c>
      <c r="BS15" s="39">
        <f t="shared" si="10"/>
        <v>0</v>
      </c>
      <c r="BT15" s="39"/>
      <c r="BU15" s="39" t="str">
        <f t="shared" si="25"/>
        <v/>
      </c>
      <c r="BX15" s="341">
        <f t="shared" si="11"/>
        <v>0</v>
      </c>
      <c r="BY15" s="341">
        <f t="shared" si="12"/>
        <v>0</v>
      </c>
      <c r="BZ15" s="676" t="str">
        <f t="shared" si="26"/>
        <v/>
      </c>
    </row>
    <row r="16" spans="1:78" ht="16.5" thickBot="1">
      <c r="A16" s="187"/>
      <c r="B16" s="188"/>
      <c r="C16" s="188"/>
      <c r="D16" s="188">
        <f>SUM(D9:D15)</f>
        <v>1.7642369656884345</v>
      </c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>
        <f>SUM(S9:S15)</f>
        <v>11791.833129850869</v>
      </c>
      <c r="T16" s="188"/>
      <c r="U16" s="188">
        <f>SUM(U9:U15)</f>
        <v>2068.035628434784</v>
      </c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88"/>
      <c r="AG16" s="188"/>
      <c r="AH16" s="189" t="s">
        <v>132</v>
      </c>
      <c r="AI16" s="189">
        <f>SUM(AI9:AI15)</f>
        <v>26.463554485326512</v>
      </c>
      <c r="AJ16" s="188"/>
      <c r="AK16" s="191">
        <f>SUM(AK9:AK15)</f>
        <v>73.158079945584191</v>
      </c>
      <c r="AL16" s="188"/>
      <c r="AM16" s="189">
        <f>SUM(AM9:AM15)</f>
        <v>9.2416383845628847</v>
      </c>
      <c r="AN16" s="189"/>
      <c r="AO16" s="189">
        <f>SUM(AO9:AO15)</f>
        <v>3.9695331727989771</v>
      </c>
      <c r="AP16" s="189">
        <f>SUM(AP9:AP15)</f>
        <v>0</v>
      </c>
      <c r="AQ16" s="188"/>
      <c r="AR16" s="188"/>
      <c r="AS16" s="189">
        <f>SUM(AS9:AS15)</f>
        <v>138.68911203293041</v>
      </c>
      <c r="AT16" s="188"/>
      <c r="AU16" s="188"/>
      <c r="AV16" s="189">
        <f>SUM(AV9:AV15)</f>
        <v>12.242770920333923</v>
      </c>
      <c r="AW16" s="188"/>
      <c r="AX16" s="193" t="s">
        <v>639</v>
      </c>
      <c r="AY16" s="193" t="s">
        <v>639</v>
      </c>
      <c r="AZ16" s="193" t="s">
        <v>639</v>
      </c>
      <c r="BA16" s="193" t="s">
        <v>639</v>
      </c>
      <c r="BB16" s="193" t="s">
        <v>639</v>
      </c>
      <c r="BC16" s="193" t="s">
        <v>639</v>
      </c>
      <c r="BD16" s="193" t="s">
        <v>639</v>
      </c>
      <c r="BE16" s="193" t="s">
        <v>639</v>
      </c>
      <c r="BF16" s="189">
        <f>SUM(BF9:BF15)</f>
        <v>48.978254936526319</v>
      </c>
      <c r="BG16" s="189">
        <f>SUM(BG9:BG15)</f>
        <v>9.4155336962919076</v>
      </c>
      <c r="BH16" s="188"/>
      <c r="BI16" s="189">
        <f>SUM(BI9:BI15)</f>
        <v>6.4279250515220863</v>
      </c>
      <c r="BJ16" s="187"/>
      <c r="BK16" s="187"/>
      <c r="BL16" s="189">
        <f t="shared" ref="BL16:BM16" si="27">SUM(BL9:BL15)</f>
        <v>112.83280598827257</v>
      </c>
      <c r="BM16" s="189">
        <f t="shared" si="27"/>
        <v>214.17041923760462</v>
      </c>
      <c r="BN16" s="189">
        <f>SUM(BN9:BN15)</f>
        <v>-101.33761324933208</v>
      </c>
      <c r="BO16" s="188">
        <f t="shared" si="8"/>
        <v>-57.43991040896735</v>
      </c>
      <c r="BP16" s="189">
        <f>SUM(BP9:BP15)</f>
        <v>-103.54724277392351</v>
      </c>
      <c r="BQ16" s="188">
        <f t="shared" si="9"/>
        <v>-58.692366608199748</v>
      </c>
      <c r="BR16" s="187"/>
      <c r="BS16" s="188">
        <f>SUM(BS9:BS15)</f>
        <v>1.7642369656884345</v>
      </c>
      <c r="BU16" s="39"/>
      <c r="BX16" s="681">
        <f>SUM(BX9:BX15)</f>
        <v>8202.5433248586542</v>
      </c>
      <c r="BY16" s="681">
        <f>SUM(BY9:BY15)</f>
        <v>12541.706586552091</v>
      </c>
      <c r="BZ16" s="682">
        <f t="shared" si="26"/>
        <v>1.5290021752817999</v>
      </c>
    </row>
    <row r="17" spans="37:46">
      <c r="AK17" s="42" t="s">
        <v>1304</v>
      </c>
      <c r="AL17" s="42"/>
      <c r="AM17" s="42"/>
      <c r="AS17" s="42" t="s">
        <v>1303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workbookViewId="0">
      <selection activeCell="B10" sqref="B10:H1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623" customFormat="1">
      <c r="A2" s="1623" t="s">
        <v>1273</v>
      </c>
    </row>
    <row r="3" spans="1:28" s="144" customFormat="1">
      <c r="B3" s="245"/>
      <c r="C3" s="245"/>
      <c r="D3" s="245"/>
      <c r="E3" s="245"/>
      <c r="F3" s="245"/>
      <c r="G3" s="245"/>
      <c r="H3" s="245"/>
      <c r="O3" s="226"/>
      <c r="S3" s="227"/>
      <c r="V3" s="489"/>
      <c r="AB3" s="225"/>
    </row>
    <row r="4" spans="1:28" s="144" customFormat="1" ht="78.75">
      <c r="B4" s="584" t="str">
        <f>CONCATENATE("Feed Item 1 - ", INPUTS!B56)</f>
        <v>Feed Item 1 - Concentrate (commercial)</v>
      </c>
      <c r="C4" s="584" t="str">
        <f>CONCATENATE("Feed Item 2 - ", INPUTS!B57)</f>
        <v>Feed Item 2 - Pennisetum purpureum - forage</v>
      </c>
      <c r="D4" s="584" t="str">
        <f>CONCATENATE("Feed Item 3 - ", INPUTS!B58)</f>
        <v>Feed Item 3 - Rhodes grass (Chloris gayana) - forage</v>
      </c>
      <c r="E4" s="584" t="str">
        <f>CONCATENATE("Feed Item 4 - ", INPUTS!B59)</f>
        <v>Feed Item 4 - Guatemala (Tripsacum andersonii) - forage</v>
      </c>
      <c r="F4" s="584" t="str">
        <f>CONCATENATE("Feed Item 5 - ", INPUTS!B60)</f>
        <v>Feed Item 5 - Maize (Zea mays) - stover</v>
      </c>
      <c r="G4" s="584" t="str">
        <f>CONCATENATE("Feed Item 6 - ", INPUTS!B61)</f>
        <v xml:space="preserve">Feed Item 6 - Naturally occuring pasture - green fodder </v>
      </c>
      <c r="H4" s="584" t="str">
        <f>CONCATENATE("Feed Item 7 - ", INPUTS!B62)</f>
        <v>Feed Item 7 - N/A</v>
      </c>
      <c r="I4" s="221"/>
      <c r="J4" s="585" t="s">
        <v>1274</v>
      </c>
      <c r="O4" s="226"/>
      <c r="S4" s="227"/>
      <c r="V4" s="489"/>
      <c r="AB4" s="225"/>
    </row>
    <row r="5" spans="1:28" s="144" customFormat="1">
      <c r="A5" s="144" t="s">
        <v>1275</v>
      </c>
      <c r="B5" s="648">
        <f>'Land requirements'!F4/'Land requirements'!$F$11</f>
        <v>0</v>
      </c>
      <c r="C5" s="648">
        <f>'Land requirements'!F5/'Land requirements'!$F$11</f>
        <v>1.7313100508013445E-2</v>
      </c>
      <c r="D5" s="648">
        <f>'Land requirements'!F6/'Land requirements'!$F$11</f>
        <v>0.11449452464982422</v>
      </c>
      <c r="E5" s="648">
        <f>'Land requirements'!F7/'Land requirements'!$F$11</f>
        <v>3.849699901205339E-2</v>
      </c>
      <c r="F5" s="648">
        <f>'Land requirements'!F8/'Land requirements'!$F$11</f>
        <v>0.54534415428624172</v>
      </c>
      <c r="G5" s="648">
        <f>'Land requirements'!F9/'Land requirements'!$F$11</f>
        <v>0.28435122154386711</v>
      </c>
      <c r="H5" s="648">
        <f>'Land requirements'!F10/'Land requirements'!$F$11</f>
        <v>0</v>
      </c>
      <c r="J5" s="586"/>
      <c r="O5" s="226"/>
      <c r="S5" s="227"/>
      <c r="V5" s="489"/>
      <c r="AB5" s="225"/>
    </row>
    <row r="6" spans="1:28" s="144" customFormat="1">
      <c r="A6" s="144" t="s">
        <v>1276</v>
      </c>
      <c r="B6" s="648">
        <f>VLOOKUP(INPUTS!D69,  'Crop parameters'!$A$2:$Z$43, 21, FALSE)</f>
        <v>0</v>
      </c>
      <c r="C6" s="648">
        <f>VLOOKUP(INPUTS!D70, 'Crop parameters'!$A$2:$Z$43, 21, FALSE)</f>
        <v>0.91666666666666663</v>
      </c>
      <c r="D6" s="648">
        <f>VLOOKUP(INPUTS!D71, 'Crop parameters'!$A$2:$Z$43, 21, FALSE)</f>
        <v>0.91666666666666663</v>
      </c>
      <c r="E6" s="648">
        <f>VLOOKUP(INPUTS!D72,  'Crop parameters'!$A$2:$Z$43, 21, FALSE)</f>
        <v>0.91666666666666663</v>
      </c>
      <c r="F6" s="648">
        <f>VLOOKUP(INPUTS!D73,'Crop parameters'!$A$2:$Z$43, 21, FALSE)</f>
        <v>0.64999999999999991</v>
      </c>
      <c r="G6" s="648">
        <f>VLOOKUP(INPUTS!D74,'Crop parameters'!$A$2:$Z$43, 21, FALSE)</f>
        <v>0.6</v>
      </c>
      <c r="H6" s="648">
        <f>VLOOKUP(INPUTS!D75,  'Crop parameters'!$A$2:$Z$43, 21, FALSE)</f>
        <v>0</v>
      </c>
      <c r="J6" s="586">
        <f>SUMPRODUCT(B5:H5,B6:H6)</f>
        <v>0.68119700536811079</v>
      </c>
      <c r="O6" s="226"/>
      <c r="S6" s="227"/>
      <c r="V6" s="489"/>
      <c r="AB6" s="225"/>
    </row>
    <row r="7" spans="1:28" s="144" customFormat="1">
      <c r="B7" s="648">
        <f>B5*B6</f>
        <v>0</v>
      </c>
      <c r="C7" s="648">
        <f t="shared" ref="C7:H7" si="0">C5*C6</f>
        <v>1.5870342132345658E-2</v>
      </c>
      <c r="D7" s="648">
        <f t="shared" si="0"/>
        <v>0.10495331426233886</v>
      </c>
      <c r="E7" s="648">
        <f t="shared" si="0"/>
        <v>3.5288915761048936E-2</v>
      </c>
      <c r="F7" s="648">
        <f t="shared" si="0"/>
        <v>0.35447370028605707</v>
      </c>
      <c r="G7" s="648">
        <f t="shared" si="0"/>
        <v>0.17061073292632026</v>
      </c>
      <c r="H7" s="648">
        <f t="shared" si="0"/>
        <v>0</v>
      </c>
      <c r="O7" s="226"/>
      <c r="S7" s="227"/>
      <c r="V7" s="489"/>
      <c r="AB7" s="225"/>
    </row>
    <row r="8" spans="1:28" s="144" customFormat="1">
      <c r="A8" s="144" t="s">
        <v>1278</v>
      </c>
      <c r="B8" s="673">
        <f>'Area Parameters'!$D$10*Water!B7</f>
        <v>0</v>
      </c>
      <c r="C8" s="673">
        <f>'Area Parameters'!$D$10*Water!C7</f>
        <v>23.170699513224662</v>
      </c>
      <c r="D8" s="673">
        <f>'Area Parameters'!$D$10*Water!D7</f>
        <v>153.23183882301475</v>
      </c>
      <c r="E8" s="673">
        <f>'Area Parameters'!$D$10*Water!E7</f>
        <v>51.521817011131446</v>
      </c>
      <c r="F8" s="673">
        <f>'Area Parameters'!$D$10*Water!F7</f>
        <v>517.53160241764328</v>
      </c>
      <c r="G8" s="673">
        <f>'Area Parameters'!$D$10*Water!G7</f>
        <v>249.09167007242758</v>
      </c>
      <c r="H8" s="673">
        <f>'Area Parameters'!$D$10*Water!H7</f>
        <v>0</v>
      </c>
      <c r="O8" s="226"/>
      <c r="S8" s="227"/>
      <c r="V8" s="489"/>
      <c r="AB8" s="225"/>
    </row>
    <row r="9" spans="1:28" s="144" customFormat="1">
      <c r="A9" s="144" t="s">
        <v>1355</v>
      </c>
      <c r="B9" s="675">
        <f>B8*'Land requirements'!$F$11</f>
        <v>0</v>
      </c>
      <c r="C9" s="675">
        <f>C8*'Land requirements'!$F$11</f>
        <v>40.878604602089965</v>
      </c>
      <c r="D9" s="675">
        <f>D8*'Land requirements'!$F$11</f>
        <v>270.33727437197479</v>
      </c>
      <c r="E9" s="675">
        <f>E8*'Land requirements'!$F$11</f>
        <v>90.896694110473305</v>
      </c>
      <c r="F9" s="675">
        <f>F8*'Land requirements'!$F$11</f>
        <v>913.04838389717622</v>
      </c>
      <c r="G9" s="675">
        <f>G8*'Land requirements'!$F$11</f>
        <v>439.45673218684425</v>
      </c>
      <c r="H9" s="675">
        <f>H8*'Land requirements'!$F$11</f>
        <v>0</v>
      </c>
      <c r="O9" s="226"/>
      <c r="S9" s="227"/>
      <c r="V9" s="489"/>
      <c r="AB9" s="225"/>
    </row>
    <row r="10" spans="1:28" s="144" customFormat="1">
      <c r="A10" s="144" t="s">
        <v>1356</v>
      </c>
      <c r="B10" s="675">
        <f>IFERROR(B9*(1-('Land Requirement '!L21+'Land Requirement '!M21+'Land Requirement '!N21)/('Land Requirement '!I21+'Land Requirement '!J21+'Land Requirement '!K21)),0)</f>
        <v>0</v>
      </c>
      <c r="C10" s="675">
        <f>IFERROR(C9*(1-('Land Requirement '!AB21+'Land Requirement '!AC21+'Land Requirement '!AD21)/('Land Requirement '!Y21+'Land Requirement '!Z21+'Land Requirement '!AA21)),0)</f>
        <v>40.878604602089965</v>
      </c>
      <c r="D10" s="675">
        <f>IFERROR(D9*(1-('Land Requirement '!AR21+'Land Requirement '!AS21+'Land Requirement '!AT21)/('Land Requirement '!AO21+'Land Requirement '!AP21+'Land Requirement '!AQ21)),0)</f>
        <v>270.33727437197479</v>
      </c>
      <c r="E10" s="675">
        <f>IFERROR(E9*(1-('Land Requirement '!BH21+'Land Requirement '!BI21+'Land Requirement '!BJ21)/('Land Requirement '!BE21+'Land Requirement '!BF21+'Land Requirement '!BJ21)),0)</f>
        <v>90.896694110473305</v>
      </c>
      <c r="F10" s="675">
        <f>IFERROR(F9*(1-('Land Requirement '!BX21+'Land Requirement '!BY21+'Land Requirement '!BZ21)/('Land Requirement '!BU21+'Land Requirement '!BV21+'Land Requirement '!BW21)),0)</f>
        <v>735.30078752317138</v>
      </c>
      <c r="G10" s="675">
        <f>IFERROR(G9*(1-('Land Requirement '!CN21+'Land Requirement '!CO21+'Land Requirement '!CP21)/('Land Requirement '!CK21+'Land Requirement '!CL21+'Land Requirement '!CM21)),0)</f>
        <v>439.45673218684425</v>
      </c>
      <c r="H10" s="675">
        <f>IFERROR(H9*(1-('Land Requirement '!DD21+'Land Requirement '!DE21+'Land Requirement '!DF21)/('Land Requirement '!DA21+'Land Requirement '!DB21+'Land Requirement '!DC21)),0)</f>
        <v>0</v>
      </c>
      <c r="O10" s="226"/>
      <c r="S10" s="227"/>
      <c r="V10" s="489"/>
      <c r="AB10" s="225"/>
    </row>
    <row r="11" spans="1:28" s="144" customFormat="1">
      <c r="A11" s="144" t="s">
        <v>1424</v>
      </c>
      <c r="B11" s="675">
        <f>B9-B10</f>
        <v>0</v>
      </c>
      <c r="C11" s="675">
        <f t="shared" ref="C11:H11" si="1">C9-C10</f>
        <v>0</v>
      </c>
      <c r="D11" s="675">
        <f t="shared" si="1"/>
        <v>0</v>
      </c>
      <c r="E11" s="675">
        <f t="shared" si="1"/>
        <v>0</v>
      </c>
      <c r="F11" s="675">
        <f t="shared" si="1"/>
        <v>177.74759637400484</v>
      </c>
      <c r="G11" s="675">
        <f t="shared" si="1"/>
        <v>0</v>
      </c>
      <c r="H11" s="675">
        <f t="shared" si="1"/>
        <v>0</v>
      </c>
      <c r="O11" s="226"/>
      <c r="S11" s="227"/>
      <c r="V11" s="489"/>
      <c r="AB11" s="225"/>
    </row>
    <row r="12" spans="1:28" s="1623" customFormat="1">
      <c r="A12" s="1623" t="s">
        <v>1277</v>
      </c>
    </row>
    <row r="13" spans="1:28" s="144" customFormat="1">
      <c r="A13" s="144" t="s">
        <v>1278</v>
      </c>
      <c r="B13" s="673">
        <f>'Area Parameters'!D10*Water!J6</f>
        <v>994.54762783744172</v>
      </c>
      <c r="C13" s="245"/>
      <c r="D13" s="245"/>
      <c r="E13" s="245"/>
      <c r="F13" s="245"/>
      <c r="G13" s="245"/>
      <c r="H13" s="245"/>
      <c r="O13" s="226"/>
      <c r="S13" s="227"/>
      <c r="V13" s="489"/>
      <c r="AB13" s="225"/>
    </row>
    <row r="14" spans="1:28" s="144" customFormat="1">
      <c r="A14" s="144" t="s">
        <v>1354</v>
      </c>
      <c r="B14" s="672">
        <f>B13/'Area Parameters'!D2</f>
        <v>0.71039116274102976</v>
      </c>
      <c r="C14" s="245"/>
      <c r="D14" s="245"/>
      <c r="E14" s="245"/>
      <c r="F14" s="245"/>
      <c r="G14" s="245"/>
      <c r="H14" s="245"/>
      <c r="O14" s="226"/>
      <c r="S14" s="227"/>
      <c r="V14" s="489"/>
      <c r="AB14" s="225"/>
    </row>
    <row r="15" spans="1:28" s="144" customFormat="1">
      <c r="A15" s="144" t="s">
        <v>1279</v>
      </c>
      <c r="B15" s="673">
        <f>B13*'Land requirements'!F11</f>
        <v>1754.6176891685586</v>
      </c>
      <c r="C15" s="245"/>
      <c r="D15" s="245"/>
      <c r="E15" s="245"/>
      <c r="F15" s="245"/>
      <c r="G15" s="245"/>
      <c r="H15" s="245"/>
      <c r="O15" s="226"/>
      <c r="S15" s="227"/>
      <c r="V15" s="489"/>
      <c r="AB15" s="225"/>
    </row>
    <row r="16" spans="1:28" s="144" customFormat="1">
      <c r="A16" s="144" t="s">
        <v>1287</v>
      </c>
      <c r="B16" s="674">
        <f>B15/'Meat &amp; Milk '!B33</f>
        <v>0.57933986732324905</v>
      </c>
      <c r="C16" s="245"/>
      <c r="D16" s="245"/>
      <c r="E16" s="245"/>
      <c r="F16" s="245"/>
      <c r="G16" s="245"/>
      <c r="H16" s="245"/>
      <c r="O16" s="226"/>
      <c r="S16" s="227"/>
      <c r="V16" s="489"/>
      <c r="AB16" s="225"/>
    </row>
    <row r="17" spans="1:28" s="144" customFormat="1">
      <c r="A17" s="144" t="s">
        <v>1447</v>
      </c>
      <c r="B17" s="674">
        <f>B15/'Meat &amp; Milk '!B29</f>
        <v>6.464108787093128</v>
      </c>
      <c r="C17" s="245"/>
      <c r="D17" s="245"/>
      <c r="E17" s="245"/>
      <c r="F17" s="245"/>
      <c r="G17" s="245"/>
      <c r="H17" s="245"/>
      <c r="O17" s="226"/>
      <c r="S17" s="227"/>
      <c r="V17" s="489"/>
      <c r="AB17" s="225"/>
    </row>
    <row r="18" spans="1:28">
      <c r="A18" s="144" t="s">
        <v>1315</v>
      </c>
      <c r="B18" s="661">
        <f>B15/'Meat &amp; Milk '!B38</f>
        <v>10.475879862157285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3"/>
  <sheetViews>
    <sheetView topLeftCell="C3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339</v>
      </c>
    </row>
    <row r="2" spans="1:14">
      <c r="E2" t="s">
        <v>380</v>
      </c>
    </row>
    <row r="3" spans="1:14">
      <c r="E3">
        <f>44/12</f>
        <v>3.6666666666666665</v>
      </c>
      <c r="G3" s="80" t="s">
        <v>889</v>
      </c>
      <c r="H3" t="s">
        <v>890</v>
      </c>
    </row>
    <row r="4" spans="1:14">
      <c r="G4" t="s">
        <v>940</v>
      </c>
      <c r="H4">
        <f>1000000*('Area Parameters'!D9/100)*'Area Parameters'!D8</f>
        <v>30000</v>
      </c>
    </row>
    <row r="5" spans="1:14">
      <c r="G5" t="s">
        <v>1403</v>
      </c>
    </row>
    <row r="6" spans="1:14">
      <c r="G6" t="s">
        <v>1404</v>
      </c>
      <c r="H6" s="39">
        <f>H4*'Area Parameters'!D6*0.001</f>
        <v>39</v>
      </c>
    </row>
    <row r="7" spans="1:14">
      <c r="B7" t="s">
        <v>311</v>
      </c>
      <c r="G7" s="37" t="s">
        <v>599</v>
      </c>
    </row>
    <row r="8" spans="1:14">
      <c r="B8" s="1627" t="s">
        <v>254</v>
      </c>
      <c r="C8" s="1627"/>
      <c r="D8" s="26" t="s">
        <v>295</v>
      </c>
      <c r="E8" s="1624" t="s">
        <v>330</v>
      </c>
      <c r="F8" s="1625"/>
      <c r="G8" s="1625"/>
      <c r="H8" s="1625"/>
      <c r="I8" s="1625"/>
      <c r="J8" s="1625"/>
      <c r="K8" s="1626"/>
      <c r="L8" s="11"/>
      <c r="M8" s="11"/>
      <c r="N8" s="11"/>
    </row>
    <row r="9" spans="1:14" ht="47.25">
      <c r="B9" s="1559" t="s">
        <v>297</v>
      </c>
      <c r="C9" s="1559"/>
      <c r="D9" s="1559" t="s">
        <v>601</v>
      </c>
      <c r="E9" s="24" t="s">
        <v>312</v>
      </c>
      <c r="F9" s="24" t="s">
        <v>313</v>
      </c>
      <c r="G9" s="24" t="s">
        <v>314</v>
      </c>
      <c r="H9" s="24" t="s">
        <v>319</v>
      </c>
      <c r="I9" s="24" t="s">
        <v>315</v>
      </c>
      <c r="J9" s="24" t="s">
        <v>316</v>
      </c>
      <c r="K9" s="31" t="s">
        <v>311</v>
      </c>
    </row>
    <row r="10" spans="1:14">
      <c r="B10" s="1559" t="s">
        <v>299</v>
      </c>
      <c r="C10" s="1559" t="s">
        <v>298</v>
      </c>
      <c r="D10" s="1559"/>
      <c r="E10" s="24" t="s">
        <v>215</v>
      </c>
      <c r="F10" s="24" t="s">
        <v>317</v>
      </c>
      <c r="G10" s="24" t="s">
        <v>318</v>
      </c>
      <c r="H10" s="24" t="s">
        <v>153</v>
      </c>
      <c r="I10" s="24" t="s">
        <v>153</v>
      </c>
      <c r="J10" s="24" t="s">
        <v>153</v>
      </c>
      <c r="K10" s="31" t="s">
        <v>320</v>
      </c>
    </row>
    <row r="11" spans="1:14" ht="31.5">
      <c r="B11" s="1559"/>
      <c r="C11" s="1559"/>
      <c r="D11" s="1559"/>
      <c r="E11" s="24"/>
      <c r="F11" s="24" t="s">
        <v>322</v>
      </c>
      <c r="G11" s="24" t="s">
        <v>892</v>
      </c>
      <c r="H11" s="24" t="s">
        <v>576</v>
      </c>
      <c r="I11" s="24" t="s">
        <v>576</v>
      </c>
      <c r="J11" s="24" t="s">
        <v>576</v>
      </c>
      <c r="K11" s="31" t="s">
        <v>329</v>
      </c>
    </row>
    <row r="12" spans="1:14">
      <c r="B12" s="1559"/>
      <c r="C12" s="1559"/>
      <c r="D12" s="1559"/>
      <c r="E12" s="24" t="s">
        <v>321</v>
      </c>
      <c r="F12" s="24" t="s">
        <v>323</v>
      </c>
      <c r="G12" s="24" t="s">
        <v>324</v>
      </c>
      <c r="H12" s="24" t="s">
        <v>325</v>
      </c>
      <c r="I12" s="24" t="s">
        <v>326</v>
      </c>
      <c r="J12" s="24" t="s">
        <v>327</v>
      </c>
      <c r="K12" s="31" t="s">
        <v>328</v>
      </c>
    </row>
    <row r="13" spans="1:14">
      <c r="B13" s="27" t="s">
        <v>310</v>
      </c>
      <c r="C13" s="27" t="s">
        <v>310</v>
      </c>
      <c r="D13" s="13" t="s">
        <v>1386</v>
      </c>
      <c r="E13" s="40">
        <f>'Land requirements'!F11-E14</f>
        <v>0.26991330148128156</v>
      </c>
      <c r="F13" s="40">
        <f>IF(H6&gt;0,H6,30)</f>
        <v>39</v>
      </c>
      <c r="G13" s="13">
        <v>20</v>
      </c>
      <c r="H13" s="164">
        <f>VLOOKUP('Area Parameters'!G13,'SOC parameters'!E6:F38,2,FALSE)</f>
        <v>0.48</v>
      </c>
      <c r="I13" s="164">
        <f>VLOOKUP('Area Parameters'!G14,'SOC parameters'!E6:F38,2, FALSE)</f>
        <v>1.1499999999999999</v>
      </c>
      <c r="J13" s="153">
        <f>VLOOKUP('Area Parameters'!G15,'SOC parameters'!E6:F38,2,FALSE)</f>
        <v>0.92</v>
      </c>
      <c r="K13" s="115">
        <f>((F13*H13*I13*J13)-F13)/G13*E13</f>
        <v>-0.25903903439120368</v>
      </c>
    </row>
    <row r="14" spans="1:14">
      <c r="B14" s="124" t="s">
        <v>379</v>
      </c>
      <c r="C14" s="124" t="s">
        <v>379</v>
      </c>
      <c r="D14" s="13" t="s">
        <v>657</v>
      </c>
      <c r="E14" s="40">
        <f>'Land requirements'!H11+'Land requirements'!I11</f>
        <v>1.4943236642071529</v>
      </c>
      <c r="F14" s="13">
        <v>40</v>
      </c>
      <c r="G14" s="13">
        <v>20</v>
      </c>
      <c r="H14" s="163">
        <f>'SOC parameters'!E43</f>
        <v>1</v>
      </c>
      <c r="I14" s="164">
        <f>VLOOKUP('Area Parameters'!G16,'SOC parameters'!D44:E51,2, FALSE)</f>
        <v>0.97</v>
      </c>
      <c r="J14" s="164">
        <f>VLOOKUP('Area Parameters'!G17,'SOC parameters'!D52:E54,2, FALSE)</f>
        <v>1</v>
      </c>
      <c r="K14" s="115">
        <f>((F14*H14*I14*J14)-F14)/G14*E14</f>
        <v>-8.9659419852429395E-2</v>
      </c>
      <c r="L14" s="39"/>
    </row>
    <row r="15" spans="1:14">
      <c r="B15" s="124" t="s">
        <v>955</v>
      </c>
      <c r="C15" s="124" t="s">
        <v>955</v>
      </c>
      <c r="D15" s="121" t="s">
        <v>912</v>
      </c>
      <c r="E15" s="212"/>
      <c r="F15" s="121">
        <v>40</v>
      </c>
      <c r="G15" s="121">
        <v>20</v>
      </c>
      <c r="H15" s="163">
        <f>'SOC parameters'!E43</f>
        <v>1</v>
      </c>
      <c r="I15" s="164"/>
      <c r="J15" s="164"/>
      <c r="K15" s="115">
        <f>((F15*H15*I15*J15)-F15)/G15*E15</f>
        <v>0</v>
      </c>
      <c r="L15" s="39"/>
    </row>
    <row r="16" spans="1:14">
      <c r="B16" s="1628" t="s">
        <v>554</v>
      </c>
      <c r="C16" s="1628"/>
      <c r="D16" s="1628"/>
      <c r="E16" s="148"/>
      <c r="F16" s="148"/>
      <c r="G16" s="148"/>
      <c r="H16" s="19"/>
      <c r="I16" s="19"/>
      <c r="J16" s="19"/>
      <c r="K16" s="113">
        <f>SUM(K13:K15)</f>
        <v>-0.3486984542436331</v>
      </c>
    </row>
    <row r="17" spans="2:12">
      <c r="B17" s="27" t="s">
        <v>379</v>
      </c>
      <c r="C17" s="27" t="s">
        <v>310</v>
      </c>
      <c r="D17" s="13"/>
      <c r="E17" s="13">
        <f>'Area Parameters'!G18</f>
        <v>0</v>
      </c>
      <c r="F17" s="13">
        <v>30</v>
      </c>
      <c r="G17" s="13">
        <v>20</v>
      </c>
      <c r="H17" s="149"/>
      <c r="I17" s="149"/>
      <c r="J17" s="149"/>
      <c r="K17" s="150">
        <f>((F17*H17*I17*J17)-F17)/G17*E17</f>
        <v>0</v>
      </c>
    </row>
    <row r="18" spans="2:12">
      <c r="B18" s="27" t="s">
        <v>310</v>
      </c>
      <c r="C18" s="27" t="s">
        <v>379</v>
      </c>
      <c r="D18" s="13"/>
      <c r="E18" s="13">
        <f>'Area Parameters'!G19</f>
        <v>0</v>
      </c>
      <c r="F18" s="13">
        <v>40</v>
      </c>
      <c r="G18" s="13">
        <v>20</v>
      </c>
      <c r="H18" s="149"/>
      <c r="I18" s="149"/>
      <c r="J18" s="149"/>
      <c r="K18" s="150">
        <f>((F18*H18*I18*J18)-F18)/G18*E18</f>
        <v>0</v>
      </c>
    </row>
    <row r="19" spans="2:12">
      <c r="B19" s="1630" t="s">
        <v>132</v>
      </c>
      <c r="C19" s="1631"/>
      <c r="D19" s="1631"/>
      <c r="E19" s="1631"/>
      <c r="F19" s="1631"/>
      <c r="G19" s="1631"/>
      <c r="H19" s="1631"/>
      <c r="I19" s="1631"/>
      <c r="J19" s="1632"/>
      <c r="K19" s="115">
        <f>K16+SUM(K17:K18)</f>
        <v>-0.3486984542436331</v>
      </c>
      <c r="L19" t="s">
        <v>1402</v>
      </c>
    </row>
    <row r="22" spans="2:12">
      <c r="B22" t="s">
        <v>331</v>
      </c>
    </row>
    <row r="23" spans="2:12">
      <c r="B23" s="1636" t="s">
        <v>254</v>
      </c>
      <c r="C23" s="1638"/>
      <c r="D23" s="26" t="s">
        <v>295</v>
      </c>
      <c r="E23" s="1636" t="s">
        <v>337</v>
      </c>
      <c r="F23" s="1637"/>
      <c r="G23" s="1638"/>
    </row>
    <row r="24" spans="2:12" ht="30" customHeight="1">
      <c r="B24" s="1562" t="s">
        <v>297</v>
      </c>
      <c r="C24" s="1564"/>
      <c r="D24" s="1568" t="s">
        <v>601</v>
      </c>
      <c r="E24" s="24" t="s">
        <v>332</v>
      </c>
      <c r="F24" s="24" t="s">
        <v>335</v>
      </c>
      <c r="G24" s="24" t="s">
        <v>336</v>
      </c>
    </row>
    <row r="25" spans="2:12" ht="15" customHeight="1">
      <c r="B25" s="1568" t="s">
        <v>299</v>
      </c>
      <c r="C25" s="1568" t="s">
        <v>298</v>
      </c>
      <c r="D25" s="1629"/>
      <c r="E25" s="24" t="s">
        <v>215</v>
      </c>
      <c r="F25" s="24" t="s">
        <v>302</v>
      </c>
      <c r="G25" s="24" t="s">
        <v>320</v>
      </c>
    </row>
    <row r="26" spans="2:12" ht="63">
      <c r="B26" s="1629"/>
      <c r="C26" s="1629"/>
      <c r="D26" s="1629"/>
      <c r="E26" s="24"/>
      <c r="F26" s="24" t="s">
        <v>338</v>
      </c>
      <c r="G26" s="24" t="s">
        <v>334</v>
      </c>
    </row>
    <row r="27" spans="2:12">
      <c r="B27" s="1569"/>
      <c r="C27" s="1569"/>
      <c r="D27" s="1569"/>
      <c r="E27" s="24" t="s">
        <v>144</v>
      </c>
      <c r="F27" s="24" t="s">
        <v>0</v>
      </c>
      <c r="G27" s="24" t="s">
        <v>333</v>
      </c>
    </row>
    <row r="28" spans="2:12">
      <c r="B28" s="1642" t="s">
        <v>310</v>
      </c>
      <c r="C28" s="1642" t="s">
        <v>310</v>
      </c>
      <c r="D28" s="13" t="s">
        <v>98</v>
      </c>
      <c r="E28" s="24"/>
      <c r="F28" s="24"/>
      <c r="G28" s="24">
        <f>E28*F28</f>
        <v>0</v>
      </c>
    </row>
    <row r="29" spans="2:12">
      <c r="B29" s="1643"/>
      <c r="C29" s="1643"/>
      <c r="D29" s="13" t="s">
        <v>99</v>
      </c>
      <c r="E29" s="24"/>
      <c r="F29" s="24"/>
      <c r="G29" s="24">
        <f>E29*F29</f>
        <v>0</v>
      </c>
    </row>
    <row r="30" spans="2:12">
      <c r="B30" s="1644"/>
      <c r="C30" s="1644"/>
      <c r="D30" s="13" t="s">
        <v>100</v>
      </c>
      <c r="E30" s="24"/>
      <c r="F30" s="24"/>
      <c r="G30" s="24">
        <f>E30*F30</f>
        <v>0</v>
      </c>
    </row>
    <row r="31" spans="2:12">
      <c r="B31" s="1639" t="s">
        <v>127</v>
      </c>
      <c r="C31" s="1640"/>
      <c r="D31" s="1641"/>
      <c r="E31" s="26"/>
      <c r="F31" s="24"/>
      <c r="G31" s="24">
        <f>SUM(G28:G30)</f>
        <v>0</v>
      </c>
    </row>
    <row r="35" spans="1:7">
      <c r="A35" t="s">
        <v>340</v>
      </c>
    </row>
    <row r="37" spans="1:7">
      <c r="B37" t="s">
        <v>341</v>
      </c>
    </row>
    <row r="39" spans="1:7">
      <c r="B39" s="1636" t="s">
        <v>254</v>
      </c>
      <c r="C39" s="1638"/>
      <c r="D39" s="25"/>
      <c r="E39" s="26"/>
      <c r="F39" s="24"/>
      <c r="G39" s="67" t="s">
        <v>348</v>
      </c>
    </row>
    <row r="40" spans="1:7" ht="47.25">
      <c r="B40" s="1636" t="s">
        <v>297</v>
      </c>
      <c r="C40" s="1638"/>
      <c r="D40" s="24" t="s">
        <v>311</v>
      </c>
      <c r="E40" s="24" t="s">
        <v>336</v>
      </c>
      <c r="F40" s="24" t="s">
        <v>342</v>
      </c>
      <c r="G40" s="31" t="s">
        <v>345</v>
      </c>
    </row>
    <row r="41" spans="1:7">
      <c r="B41" s="1633" t="s">
        <v>299</v>
      </c>
      <c r="C41" s="1633" t="s">
        <v>298</v>
      </c>
      <c r="D41" s="24" t="s">
        <v>320</v>
      </c>
      <c r="E41" s="24" t="s">
        <v>320</v>
      </c>
      <c r="F41" s="24" t="s">
        <v>320</v>
      </c>
      <c r="G41" s="31" t="s">
        <v>320</v>
      </c>
    </row>
    <row r="42" spans="1:7" ht="31.5">
      <c r="B42" s="1634"/>
      <c r="C42" s="1634"/>
      <c r="D42" s="20" t="s">
        <v>329</v>
      </c>
      <c r="E42" s="24" t="s">
        <v>334</v>
      </c>
      <c r="F42" s="24" t="s">
        <v>343</v>
      </c>
      <c r="G42" s="31" t="s">
        <v>347</v>
      </c>
    </row>
    <row r="43" spans="1:7">
      <c r="B43" s="1635"/>
      <c r="C43" s="1635"/>
      <c r="D43" s="20" t="s">
        <v>328</v>
      </c>
      <c r="E43" s="24" t="s">
        <v>333</v>
      </c>
      <c r="F43" s="24" t="s">
        <v>344</v>
      </c>
      <c r="G43" s="31" t="s">
        <v>346</v>
      </c>
    </row>
    <row r="44" spans="1:7">
      <c r="B44" s="25" t="s">
        <v>310</v>
      </c>
      <c r="C44" s="25" t="s">
        <v>310</v>
      </c>
      <c r="D44" s="40">
        <f>K16</f>
        <v>-0.3486984542436331</v>
      </c>
      <c r="E44" s="40">
        <f>G31</f>
        <v>0</v>
      </c>
      <c r="F44" s="40">
        <v>0</v>
      </c>
      <c r="G44" s="47">
        <f>D44-E44+F44</f>
        <v>-0.3486984542436331</v>
      </c>
    </row>
    <row r="45" spans="1:7" s="936" customFormat="1">
      <c r="B45" s="941"/>
      <c r="C45" s="941"/>
      <c r="D45" s="942"/>
      <c r="E45" s="942"/>
      <c r="F45" s="942"/>
      <c r="G45" s="943"/>
    </row>
    <row r="46" spans="1:7">
      <c r="D46" s="12" t="s">
        <v>1738</v>
      </c>
      <c r="E46" s="944" t="s">
        <v>1739</v>
      </c>
      <c r="G46" s="945" t="s">
        <v>1740</v>
      </c>
    </row>
    <row r="47" spans="1:7">
      <c r="B47" t="s">
        <v>1737</v>
      </c>
      <c r="D47" s="946">
        <f>Biomass!Q28</f>
        <v>0</v>
      </c>
      <c r="E47" s="946">
        <f>D47/2</f>
        <v>0</v>
      </c>
      <c r="F47" s="935"/>
      <c r="G47" s="8">
        <f>E47/1000</f>
        <v>0</v>
      </c>
    </row>
    <row r="49" spans="7:7">
      <c r="G49" s="945" t="s">
        <v>1741</v>
      </c>
    </row>
    <row r="50" spans="7:7">
      <c r="G50" s="947">
        <f>G44+G47+'Trees-Carbon'!P9</f>
        <v>-0.15253985626515162</v>
      </c>
    </row>
    <row r="52" spans="7:7">
      <c r="G52" s="945" t="s">
        <v>1861</v>
      </c>
    </row>
    <row r="53" spans="7:7" ht="31.5" customHeight="1">
      <c r="G53" s="947">
        <f>G50*44/12</f>
        <v>-0.55931280630555602</v>
      </c>
    </row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  <mergeCell ref="E8:K8"/>
    <mergeCell ref="B8:C8"/>
    <mergeCell ref="B9:C9"/>
    <mergeCell ref="D9:D12"/>
    <mergeCell ref="B10:B12"/>
    <mergeCell ref="C10:C12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3"/>
  <sheetViews>
    <sheetView topLeftCell="F13" workbookViewId="0">
      <selection activeCell="Q31" sqref="Q3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1401</v>
      </c>
    </row>
    <row r="4" spans="1:8">
      <c r="B4" t="s">
        <v>97</v>
      </c>
    </row>
    <row r="5" spans="1:8">
      <c r="B5" s="1627" t="s">
        <v>254</v>
      </c>
      <c r="C5" s="1627"/>
      <c r="D5" s="26" t="s">
        <v>295</v>
      </c>
      <c r="E5" s="1636" t="s">
        <v>296</v>
      </c>
      <c r="F5" s="1637"/>
      <c r="G5" s="1637"/>
      <c r="H5" s="1638"/>
    </row>
    <row r="6" spans="1:8" ht="110.25">
      <c r="B6" s="1559" t="s">
        <v>297</v>
      </c>
      <c r="C6" s="1559"/>
      <c r="D6" s="1559" t="s">
        <v>167</v>
      </c>
      <c r="E6" s="20" t="s">
        <v>300</v>
      </c>
      <c r="F6" s="20" t="s">
        <v>301</v>
      </c>
      <c r="G6" s="20" t="s">
        <v>307</v>
      </c>
      <c r="H6" s="20" t="s">
        <v>1401</v>
      </c>
    </row>
    <row r="7" spans="1:8" ht="31.5">
      <c r="B7" s="1559" t="s">
        <v>299</v>
      </c>
      <c r="C7" s="1559" t="s">
        <v>298</v>
      </c>
      <c r="D7" s="1559"/>
      <c r="E7" s="20" t="s">
        <v>215</v>
      </c>
      <c r="F7" s="20" t="s">
        <v>302</v>
      </c>
      <c r="G7" s="20" t="s">
        <v>302</v>
      </c>
      <c r="H7" s="20" t="s">
        <v>308</v>
      </c>
    </row>
    <row r="8" spans="1:8" ht="31.5">
      <c r="B8" s="1559"/>
      <c r="C8" s="1559"/>
      <c r="D8" s="1559"/>
      <c r="E8" s="20"/>
      <c r="F8" s="20" t="s">
        <v>303</v>
      </c>
      <c r="G8" s="20" t="s">
        <v>303</v>
      </c>
      <c r="H8" s="20" t="s">
        <v>309</v>
      </c>
    </row>
    <row r="9" spans="1:8">
      <c r="B9" s="1559"/>
      <c r="C9" s="1559"/>
      <c r="D9" s="1559"/>
      <c r="E9" s="20" t="s">
        <v>144</v>
      </c>
      <c r="F9" s="38" t="s">
        <v>305</v>
      </c>
      <c r="G9" s="20" t="s">
        <v>306</v>
      </c>
      <c r="H9" s="20" t="s">
        <v>304</v>
      </c>
    </row>
    <row r="10" spans="1:8">
      <c r="B10" s="1572" t="s">
        <v>310</v>
      </c>
      <c r="C10" s="1572" t="s">
        <v>310</v>
      </c>
      <c r="D10" s="13" t="s">
        <v>98</v>
      </c>
      <c r="E10" s="40">
        <f>'Land requirements'!I11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72"/>
      <c r="C11" s="1572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572"/>
      <c r="C12" s="1572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645" t="s">
        <v>127</v>
      </c>
      <c r="C13" s="1645"/>
      <c r="D13" s="1645"/>
      <c r="E13" s="19"/>
      <c r="F13" s="19"/>
      <c r="G13" s="19"/>
      <c r="H13" s="40">
        <f>SUM(H10:H12)</f>
        <v>0</v>
      </c>
    </row>
    <row r="16" spans="1:8">
      <c r="A16" t="s">
        <v>826</v>
      </c>
      <c r="B16" t="s">
        <v>482</v>
      </c>
    </row>
    <row r="17" spans="2:19" s="30" customFormat="1" ht="78.75">
      <c r="B17" s="1568" t="s">
        <v>465</v>
      </c>
      <c r="C17" s="86" t="s">
        <v>1343</v>
      </c>
      <c r="D17" s="24" t="s">
        <v>1390</v>
      </c>
      <c r="E17" s="24" t="s">
        <v>466</v>
      </c>
      <c r="F17" s="24" t="s">
        <v>483</v>
      </c>
      <c r="G17" s="24" t="s">
        <v>484</v>
      </c>
      <c r="H17" s="24" t="s">
        <v>471</v>
      </c>
      <c r="I17" s="24" t="s">
        <v>472</v>
      </c>
      <c r="J17" s="24" t="s">
        <v>1391</v>
      </c>
      <c r="K17" s="24" t="s">
        <v>1392</v>
      </c>
      <c r="L17" s="112" t="s">
        <v>1399</v>
      </c>
      <c r="M17" s="155" t="s">
        <v>660</v>
      </c>
      <c r="N17" s="155" t="s">
        <v>660</v>
      </c>
      <c r="O17" s="112" t="s">
        <v>1400</v>
      </c>
      <c r="P17" s="155" t="s">
        <v>659</v>
      </c>
      <c r="Q17" s="24" t="s">
        <v>604</v>
      </c>
      <c r="R17" s="24" t="s">
        <v>658</v>
      </c>
      <c r="S17"/>
    </row>
    <row r="18" spans="2:19" ht="31.5">
      <c r="B18" s="1629"/>
      <c r="C18" s="671" t="s">
        <v>126</v>
      </c>
      <c r="D18" s="24" t="s">
        <v>468</v>
      </c>
      <c r="E18" s="24" t="s">
        <v>469</v>
      </c>
      <c r="F18" s="24" t="s">
        <v>470</v>
      </c>
      <c r="G18" s="24" t="s">
        <v>479</v>
      </c>
      <c r="H18" s="24" t="s">
        <v>485</v>
      </c>
      <c r="I18" s="27" t="s">
        <v>474</v>
      </c>
      <c r="J18" s="24" t="s">
        <v>1393</v>
      </c>
      <c r="K18" s="24" t="s">
        <v>825</v>
      </c>
      <c r="L18" s="112" t="s">
        <v>821</v>
      </c>
      <c r="M18" s="155" t="s">
        <v>1393</v>
      </c>
      <c r="N18" s="155" t="s">
        <v>661</v>
      </c>
      <c r="O18" s="112" t="s">
        <v>1342</v>
      </c>
      <c r="P18" s="155" t="s">
        <v>822</v>
      </c>
      <c r="Q18" s="24" t="s">
        <v>825</v>
      </c>
      <c r="R18" s="24" t="s">
        <v>824</v>
      </c>
    </row>
    <row r="19" spans="2:19" ht="63">
      <c r="B19" s="1569"/>
      <c r="C19" s="34"/>
      <c r="D19" s="24"/>
      <c r="E19" s="24" t="s">
        <v>602</v>
      </c>
      <c r="F19" s="24" t="s">
        <v>463</v>
      </c>
      <c r="G19" s="24" t="s">
        <v>481</v>
      </c>
      <c r="H19" s="24"/>
      <c r="I19" s="24" t="s">
        <v>476</v>
      </c>
      <c r="J19" s="24"/>
      <c r="K19" s="24"/>
      <c r="L19" s="112"/>
      <c r="M19" s="155"/>
      <c r="N19" s="155"/>
      <c r="O19" s="112"/>
      <c r="P19" s="155"/>
      <c r="Q19" s="24" t="s">
        <v>605</v>
      </c>
      <c r="R19" s="24" t="s">
        <v>478</v>
      </c>
    </row>
    <row r="20" spans="2:19" ht="31.5">
      <c r="B20" s="24" t="s">
        <v>473</v>
      </c>
      <c r="C20" s="24"/>
      <c r="D20" s="24" t="s">
        <v>477</v>
      </c>
      <c r="E20" s="24" t="s">
        <v>467</v>
      </c>
      <c r="F20" s="24" t="s">
        <v>480</v>
      </c>
      <c r="G20" s="27" t="s">
        <v>462</v>
      </c>
      <c r="H20" s="24" t="s">
        <v>464</v>
      </c>
      <c r="I20" s="27" t="s">
        <v>475</v>
      </c>
      <c r="J20" s="24" t="s">
        <v>820</v>
      </c>
      <c r="K20" s="24"/>
      <c r="L20" s="112"/>
      <c r="M20" s="155" t="s">
        <v>823</v>
      </c>
      <c r="N20" s="155" t="s">
        <v>823</v>
      </c>
      <c r="O20" s="112"/>
      <c r="P20" s="155" t="s">
        <v>603</v>
      </c>
      <c r="Q20" s="24" t="s">
        <v>606</v>
      </c>
      <c r="R20" s="24" t="s">
        <v>606</v>
      </c>
    </row>
    <row r="21" spans="2:19">
      <c r="B21" s="24" t="str">
        <f>'Land requirements'!B4</f>
        <v>Purchased</v>
      </c>
      <c r="C21" s="45">
        <f>'Land requirements'!I4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6">
        <f>IFERROR(L21*H21*D21,0)</f>
        <v>0</v>
      </c>
      <c r="N21" s="156">
        <f>M21*C21</f>
        <v>0</v>
      </c>
      <c r="O21" s="24" t="str">
        <f>IF(VLOOKUP(B21,'Crop parameters'!$A$2:$Z$43,26)&gt;0,VLOOKUP(B21,'Crop parameters'!$A$2:$Z$43,26),"")</f>
        <v/>
      </c>
      <c r="P21" s="156">
        <f>IFERROR(O21*H21,0)</f>
        <v>0</v>
      </c>
      <c r="Q21" s="119">
        <f>N21-P21</f>
        <v>0</v>
      </c>
      <c r="R21" s="119">
        <f>Q21*(44/12)</f>
        <v>0</v>
      </c>
    </row>
    <row r="22" spans="2:19">
      <c r="B22" s="24" t="str">
        <f>'Land requirements'!B5</f>
        <v>Pennisetum purpureum</v>
      </c>
      <c r="C22" s="45">
        <f>'Land requirements'!I5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6">
        <f t="shared" ref="M22:M27" si="5">IFERROR(L22*H22*D22,0)</f>
        <v>0</v>
      </c>
      <c r="N22" s="156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6">
        <f t="shared" ref="P22:P27" si="7">IFERROR(O22*H22,0)</f>
        <v>0</v>
      </c>
      <c r="Q22" s="119">
        <f t="shared" ref="Q22:Q27" si="8">N22-P22</f>
        <v>0</v>
      </c>
      <c r="R22" s="119">
        <f t="shared" ref="R22:R27" si="9">Q22*(44/12)</f>
        <v>0</v>
      </c>
    </row>
    <row r="23" spans="2:19">
      <c r="B23" s="24" t="str">
        <f>'Land requirements'!B6</f>
        <v>Rhodes</v>
      </c>
      <c r="C23" s="45">
        <f>'Land requirements'!I6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6">
        <f t="shared" si="5"/>
        <v>0</v>
      </c>
      <c r="N23" s="156">
        <f t="shared" si="6"/>
        <v>0</v>
      </c>
      <c r="O23" s="24" t="str">
        <f>IF(VLOOKUP(B23,'Crop parameters'!$A$2:$Z$43,26)&gt;0,VLOOKUP(B23,'Crop parameters'!$A$2:$Z$43,26),"")</f>
        <v/>
      </c>
      <c r="P23" s="156">
        <f t="shared" si="7"/>
        <v>0</v>
      </c>
      <c r="Q23" s="119">
        <f t="shared" si="8"/>
        <v>0</v>
      </c>
      <c r="R23" s="119">
        <f t="shared" si="9"/>
        <v>0</v>
      </c>
    </row>
    <row r="24" spans="2:19">
      <c r="B24" s="24" t="str">
        <f>'Land requirements'!B7</f>
        <v>Guatemala</v>
      </c>
      <c r="C24" s="45">
        <f>'Land requirements'!I7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6">
        <f t="shared" si="5"/>
        <v>0</v>
      </c>
      <c r="N24" s="156">
        <f t="shared" si="6"/>
        <v>0</v>
      </c>
      <c r="O24" s="24" t="str">
        <f>IF(VLOOKUP(B24,'Crop parameters'!$A$2:$Z$43,26)&gt;0,VLOOKUP(B24,'Crop parameters'!$A$2:$Z$43,26),"")</f>
        <v/>
      </c>
      <c r="P24" s="156">
        <f t="shared" si="7"/>
        <v>0</v>
      </c>
      <c r="Q24" s="119">
        <f t="shared" si="8"/>
        <v>0</v>
      </c>
      <c r="R24" s="119">
        <f t="shared" si="9"/>
        <v>0</v>
      </c>
    </row>
    <row r="25" spans="2:19">
      <c r="B25" s="24" t="str">
        <f>'Land requirements'!B8</f>
        <v>Maize</v>
      </c>
      <c r="C25" s="45">
        <f>'Land requirements'!I8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6">
        <f t="shared" si="5"/>
        <v>0</v>
      </c>
      <c r="N25" s="156">
        <f t="shared" si="6"/>
        <v>0</v>
      </c>
      <c r="O25" s="24" t="str">
        <f>IF(VLOOKUP(B25,'Crop parameters'!$A$2:$Z$43,26)&gt;0,VLOOKUP(B25,'Crop parameters'!$A$2:$Z$43,26),"")</f>
        <v/>
      </c>
      <c r="P25" s="156">
        <f t="shared" si="7"/>
        <v>0</v>
      </c>
      <c r="Q25" s="119">
        <f t="shared" si="8"/>
        <v>0</v>
      </c>
      <c r="R25" s="119">
        <f t="shared" si="9"/>
        <v>0</v>
      </c>
    </row>
    <row r="26" spans="2:19">
      <c r="B26" s="24" t="str">
        <f>'Land requirements'!B9</f>
        <v>Natural pasture</v>
      </c>
      <c r="C26" s="45">
        <f>'Land requirements'!I9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6">
        <f t="shared" si="5"/>
        <v>0</v>
      </c>
      <c r="N26" s="156">
        <f t="shared" si="6"/>
        <v>0</v>
      </c>
      <c r="O26" s="24" t="str">
        <f>IF(VLOOKUP(B26,'Crop parameters'!$A$2:$Z$43,26)&gt;0,VLOOKUP(B26,'Crop parameters'!$A$2:$Z$43,26),"")</f>
        <v/>
      </c>
      <c r="P26" s="156">
        <f t="shared" si="7"/>
        <v>0</v>
      </c>
      <c r="Q26" s="119">
        <f t="shared" si="8"/>
        <v>0</v>
      </c>
      <c r="R26" s="119">
        <f t="shared" si="9"/>
        <v>0</v>
      </c>
    </row>
    <row r="27" spans="2:19" ht="17.25" customHeight="1">
      <c r="B27" s="24" t="str">
        <f>'Land requirements'!B10</f>
        <v>N/A</v>
      </c>
      <c r="C27" s="45">
        <f>'Land requirements'!I10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6">
        <f t="shared" si="5"/>
        <v>0</v>
      </c>
      <c r="N27" s="156">
        <f t="shared" si="6"/>
        <v>0</v>
      </c>
      <c r="O27" s="24" t="str">
        <f>IF(VLOOKUP(B27,'Crop parameters'!$A$2:$Z$43,26)&gt;0,VLOOKUP(B27,'Crop parameters'!$A$2:$Z$43,26),"")</f>
        <v/>
      </c>
      <c r="P27" s="156">
        <f t="shared" si="7"/>
        <v>0</v>
      </c>
      <c r="Q27" s="119">
        <f t="shared" si="8"/>
        <v>0</v>
      </c>
      <c r="R27" s="119">
        <f t="shared" si="9"/>
        <v>0</v>
      </c>
    </row>
    <row r="28" spans="2:19">
      <c r="B28" s="16" t="s">
        <v>209</v>
      </c>
      <c r="C28" s="123"/>
      <c r="D28" s="123"/>
      <c r="E28" s="123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3"/>
      <c r="M28" s="123"/>
      <c r="N28" s="123"/>
      <c r="O28" s="695"/>
      <c r="P28" s="157" t="s">
        <v>1689</v>
      </c>
      <c r="Q28" s="159">
        <f>SUM(Q21:Q27)</f>
        <v>0</v>
      </c>
      <c r="R28" s="159">
        <f>SUM(R21:R27)</f>
        <v>0</v>
      </c>
    </row>
    <row r="29" spans="2:19">
      <c r="P29" s="989"/>
      <c r="Q29" s="1440" t="s">
        <v>1862</v>
      </c>
      <c r="R29" s="1440" t="s">
        <v>1863</v>
      </c>
    </row>
    <row r="30" spans="2:19">
      <c r="P30" s="1439" t="s">
        <v>1864</v>
      </c>
      <c r="Q30" s="39">
        <f>Q28/1000</f>
        <v>0</v>
      </c>
      <c r="R30" s="39">
        <f>R28/1000</f>
        <v>0</v>
      </c>
    </row>
    <row r="31" spans="2:19">
      <c r="P31" s="1439" t="s">
        <v>1865</v>
      </c>
      <c r="Q31" s="960">
        <f>'Trees-Carbon'!N9</f>
        <v>0.78463439191392592</v>
      </c>
      <c r="R31" s="960">
        <f>'Trees-Carbon'!O9</f>
        <v>2.876992770351062</v>
      </c>
    </row>
    <row r="32" spans="2:19" ht="47.25">
      <c r="P32" s="1439"/>
      <c r="Q32" s="945" t="s">
        <v>1866</v>
      </c>
      <c r="R32" s="945" t="s">
        <v>1867</v>
      </c>
    </row>
    <row r="33" spans="16:18">
      <c r="P33" s="1441" t="s">
        <v>132</v>
      </c>
      <c r="Q33" s="1442">
        <f>SUM(Q30:Q31)</f>
        <v>0.78463439191392592</v>
      </c>
      <c r="R33" s="1442">
        <f>SUM(R30:R31)</f>
        <v>2.876992770351062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topLeftCell="A16" workbookViewId="0">
      <selection activeCell="M29" sqref="M29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75" customFormat="1"/>
    <row r="2" spans="1:17" s="2" customFormat="1" ht="51">
      <c r="A2" s="1646" t="s">
        <v>884</v>
      </c>
      <c r="B2" s="1646" t="s">
        <v>858</v>
      </c>
      <c r="C2" s="182" t="s">
        <v>776</v>
      </c>
      <c r="D2" s="182" t="s">
        <v>777</v>
      </c>
      <c r="E2" s="182" t="s">
        <v>778</v>
      </c>
      <c r="F2" s="182" t="s">
        <v>779</v>
      </c>
      <c r="G2" s="182" t="s">
        <v>780</v>
      </c>
      <c r="H2" s="183" t="s">
        <v>928</v>
      </c>
      <c r="I2" s="183" t="s">
        <v>928</v>
      </c>
      <c r="J2" s="214" t="s">
        <v>965</v>
      </c>
      <c r="M2" s="181"/>
      <c r="N2" s="181"/>
      <c r="O2" s="181"/>
      <c r="P2" s="181" t="s">
        <v>819</v>
      </c>
      <c r="Q2" s="181" t="s">
        <v>925</v>
      </c>
    </row>
    <row r="3" spans="1:17" ht="50.25" customHeight="1">
      <c r="A3" s="1646"/>
      <c r="B3" s="1646"/>
      <c r="C3" s="215" t="s">
        <v>781</v>
      </c>
      <c r="D3" s="215" t="s">
        <v>782</v>
      </c>
      <c r="E3" s="215" t="s">
        <v>783</v>
      </c>
      <c r="F3" s="215" t="s">
        <v>784</v>
      </c>
      <c r="G3" s="215" t="s">
        <v>785</v>
      </c>
      <c r="H3" s="215" t="s">
        <v>963</v>
      </c>
      <c r="I3" s="216" t="s">
        <v>964</v>
      </c>
      <c r="J3" s="213"/>
      <c r="M3" s="190" t="s">
        <v>966</v>
      </c>
      <c r="O3" s="194">
        <f>SUM(I4:I16)</f>
        <v>14.284277892271302</v>
      </c>
      <c r="P3" s="194">
        <f>SUM(I20:I32)</f>
        <v>0</v>
      </c>
      <c r="Q3" s="194">
        <f>O3+P3</f>
        <v>14.284277892271302</v>
      </c>
    </row>
    <row r="4" spans="1:17" ht="56.25">
      <c r="A4" s="13" t="str">
        <f>INPUTS!D69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VLOOKUP(INPUTS!J69,'Soil erosion parameters'!$B$44:$H$48,MATCH(INPUTS!K69, 'Soil erosion parameters'!$B$44:$H$44,0), FALSE)</f>
        <v>5.34</v>
      </c>
      <c r="F4" s="40">
        <f>VLOOKUP(INPUTS!I69,'Soil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42">
        <f>H4*'Land requirements'!F4*('N balance'!C$4/365)</f>
        <v>0</v>
      </c>
      <c r="M4" s="190" t="s">
        <v>981</v>
      </c>
      <c r="O4" s="194">
        <f>AVERAGEIF(H4:H16,"&lt;&gt;0")</f>
        <v>6.7476240000000001</v>
      </c>
      <c r="P4" s="194" t="e">
        <f>AVERAGEIF(H20:H32,"&lt;&gt;0")</f>
        <v>#DIV/0!</v>
      </c>
      <c r="Q4" s="194"/>
    </row>
    <row r="5" spans="1:17">
      <c r="A5" s="13" t="str">
        <f>INPUTS!D70</f>
        <v>Pennisetum purpureum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VLOOKUP(INPUTS!J70,'Soil erosion parameters'!$B$44:$H$48,MATCH(INPUTS!K70, 'Soil erosion parameters'!$B$44:$H$44,0), FALSE)</f>
        <v>5.34</v>
      </c>
      <c r="F5" s="40">
        <f>VLOOKUP(INPUTS!I70,'Soil erosion parameters'!B$23:C$36,2,FALSE)</f>
        <v>0.01</v>
      </c>
      <c r="G5" s="13">
        <v>0.8</v>
      </c>
      <c r="H5" s="40">
        <f t="shared" si="0"/>
        <v>1.1246040000000002</v>
      </c>
      <c r="I5" s="342">
        <f>H5*'Land requirements'!F5*('N balance'!C$4/365)</f>
        <v>3.4350367808165971E-2</v>
      </c>
    </row>
    <row r="6" spans="1:17">
      <c r="A6" s="13" t="str">
        <f>INPUTS!D71</f>
        <v>Rhodes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VLOOKUP(INPUTS!J71,'Soil erosion parameters'!$B$44:$H$48,MATCH(INPUTS!K71, 'Soil erosion parameters'!$B$44:$H$44,0), FALSE)</f>
        <v>5.34</v>
      </c>
      <c r="F6" s="40">
        <f>VLOOKUP(INPUTS!I71,'Soil erosion parameters'!B$23:C$36,2,FALSE)</f>
        <v>0.01</v>
      </c>
      <c r="G6" s="13">
        <v>0.8</v>
      </c>
      <c r="H6" s="40">
        <f t="shared" si="0"/>
        <v>1.1246040000000002</v>
      </c>
      <c r="I6" s="342">
        <f>H6*'Land requirements'!F6*('N balance'!C$4/365)</f>
        <v>0.22716491664345234</v>
      </c>
    </row>
    <row r="7" spans="1:17">
      <c r="A7" s="13" t="str">
        <f>INPUTS!D72</f>
        <v>Guatemala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VLOOKUP(INPUTS!J72,'Soil erosion parameters'!$B$44:$H$48,MATCH(INPUTS!K72, 'Soil erosion parameters'!$B$44:$H$44,0), FALSE)</f>
        <v>5.34</v>
      </c>
      <c r="F7" s="40">
        <f>VLOOKUP(INPUTS!I72,'Soil erosion parameters'!B$23:C$36,2,FALSE)</f>
        <v>0.05</v>
      </c>
      <c r="G7" s="13">
        <v>0.8</v>
      </c>
      <c r="H7" s="40">
        <f t="shared" si="0"/>
        <v>5.6230200000000004</v>
      </c>
      <c r="I7" s="342">
        <f>H7*'Land requirements'!F7*('N balance'!C$4/365)</f>
        <v>0.38190330927801275</v>
      </c>
      <c r="O7" s="39"/>
    </row>
    <row r="8" spans="1:17">
      <c r="A8" s="13" t="str">
        <f>INPUTS!D73</f>
        <v>Maize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VLOOKUP(INPUTS!J73,'Soil erosion parameters'!$B$44:$H$48,MATCH(INPUTS!K73, 'Soil erosion parameters'!$B$44:$H$44,0), FALSE)</f>
        <v>5.34</v>
      </c>
      <c r="F8" s="40">
        <f>VLOOKUP(INPUTS!I73,'Soil erosion parameters'!B$23:C$36,2,FALSE)</f>
        <v>0.1</v>
      </c>
      <c r="G8" s="13">
        <v>0.8</v>
      </c>
      <c r="H8" s="40">
        <f t="shared" si="0"/>
        <v>11.246040000000001</v>
      </c>
      <c r="I8" s="342">
        <f>H8*'Land requirements'!F8*('N balance'!C$4/365)</f>
        <v>10.819998574544787</v>
      </c>
    </row>
    <row r="9" spans="1:17">
      <c r="A9" s="13" t="str">
        <f>INPUTS!D74</f>
        <v>Natural pasture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VLOOKUP(INPUTS!J74,'Soil erosion parameters'!$B$44:$H$48,MATCH(INPUTS!K74, 'Soil erosion parameters'!$B$44:$H$44,0), FALSE)</f>
        <v>5.34</v>
      </c>
      <c r="F9" s="40">
        <f>VLOOKUP(INPUTS!I74,'Soil erosion parameters'!B$23:C$36,2,FALSE)</f>
        <v>0.05</v>
      </c>
      <c r="G9" s="13">
        <v>0.8</v>
      </c>
      <c r="H9" s="40">
        <f t="shared" si="0"/>
        <v>5.6230200000000004</v>
      </c>
      <c r="I9" s="342">
        <f>H9*'Land requirements'!F9*('N balance'!C$4/365)</f>
        <v>2.820860723996883</v>
      </c>
    </row>
    <row r="10" spans="1:17">
      <c r="A10" s="13" t="str">
        <f>INPUTS!D75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VLOOKUP(INPUTS!J75,'Soil erosion parameters'!$B$44:$H$48,MATCH(INPUTS!K75, 'Soil erosion parameters'!$B$44:$H$44,0), FALSE)</f>
        <v>5.34</v>
      </c>
      <c r="F10" s="40">
        <f>VLOOKUP(INPUTS!I75,'Soil erosion parameters'!B$23:C$36,2,FALSE)</f>
        <v>0.05</v>
      </c>
      <c r="G10" s="13">
        <v>0.8</v>
      </c>
      <c r="H10" s="40">
        <f t="shared" si="0"/>
        <v>5.6230200000000004</v>
      </c>
      <c r="I10" s="342">
        <f>H10*'Land requirements'!F10*('N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42">
        <f>H11*INPUTS!F75*('N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42">
        <f>H12*INPUTS!F76*('N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42">
        <f>H13*INPUTS!F77*('N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42">
        <f>H14*INPUTS!F78*('N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42">
        <f>H15*INPUTS!F79*('N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42">
        <f>H16*INPUTS!F80*('N balance'!C$4/365)</f>
        <v>0</v>
      </c>
    </row>
    <row r="17" spans="1:9" s="1647" customFormat="1" ht="15"/>
    <row r="18" spans="1:9" s="345" customFormat="1" ht="60">
      <c r="A18" s="1648" t="s">
        <v>884</v>
      </c>
      <c r="B18" s="1648" t="s">
        <v>858</v>
      </c>
      <c r="C18" s="343" t="s">
        <v>776</v>
      </c>
      <c r="D18" s="343" t="s">
        <v>777</v>
      </c>
      <c r="E18" s="343" t="s">
        <v>778</v>
      </c>
      <c r="F18" s="343" t="s">
        <v>779</v>
      </c>
      <c r="G18" s="343" t="s">
        <v>780</v>
      </c>
      <c r="H18" s="344" t="s">
        <v>928</v>
      </c>
      <c r="I18" s="344" t="s">
        <v>928</v>
      </c>
    </row>
    <row r="19" spans="1:9" s="347" customFormat="1" ht="45">
      <c r="A19" s="1648"/>
      <c r="B19" s="1648"/>
      <c r="C19" s="346" t="s">
        <v>781</v>
      </c>
      <c r="D19" s="346" t="s">
        <v>782</v>
      </c>
      <c r="E19" s="346" t="s">
        <v>783</v>
      </c>
      <c r="F19" s="346" t="s">
        <v>784</v>
      </c>
      <c r="G19" s="346" t="s">
        <v>785</v>
      </c>
      <c r="H19" s="346" t="s">
        <v>963</v>
      </c>
      <c r="I19" s="346" t="s">
        <v>1126</v>
      </c>
    </row>
    <row r="20" spans="1:9" s="347" customFormat="1" ht="15">
      <c r="A20" s="348" t="str">
        <f>A4</f>
        <v>Purchased</v>
      </c>
      <c r="B20" s="348" t="str">
        <f>'Area Parameters'!D$4</f>
        <v>Lixisol</v>
      </c>
      <c r="C20" s="349">
        <f>0.55*('Area Parameters'!$D$2/'Area Parameters'!$D$3)-4.7</f>
        <v>105.30000000000001</v>
      </c>
      <c r="D20" s="348">
        <f>VLOOKUP('Area Parameters'!D$4,'Soil erosion parameters'!B$12:D$20,3,FALSE)</f>
        <v>0.25</v>
      </c>
      <c r="E20" s="348" t="e">
        <f>VLOOKUP(INPUTS!K91,'Soil erosion parameters'!$B$44:$H$48,MATCH(INPUTS!L91, 'Soil erosion parameters'!$B$44:$H$44,0), FALSE)</f>
        <v>#N/A</v>
      </c>
      <c r="F20" s="348" t="e">
        <f>VLOOKUP(INPUTS!AI60,'Soil erosion parameters'!B$23:C$36,2,FALSE)</f>
        <v>#N/A</v>
      </c>
      <c r="G20" s="348">
        <v>0.8</v>
      </c>
      <c r="H20" s="349">
        <f t="shared" ref="H20:H32" si="1">IF(ISERROR(C20*D20*E20*F20*G20),0,(C20*D20*E20*F20*G20))</f>
        <v>0</v>
      </c>
      <c r="I20" s="350">
        <f>H20*INPUTS!AI60*(1-('N balance'!C$4/365))</f>
        <v>0</v>
      </c>
    </row>
    <row r="21" spans="1:9" s="347" customFormat="1" ht="15">
      <c r="A21" s="348" t="str">
        <f t="shared" ref="A21:A26" si="2">A5</f>
        <v>Pennisetum purpureum</v>
      </c>
      <c r="B21" s="348" t="str">
        <f>'Area Parameters'!D$4</f>
        <v>Lixisol</v>
      </c>
      <c r="C21" s="349">
        <f>0.55*('Area Parameters'!$D$2/'Area Parameters'!$D$3)-4.7</f>
        <v>105.30000000000001</v>
      </c>
      <c r="D21" s="348">
        <f>VLOOKUP('Area Parameters'!D$4,'Soil erosion parameters'!B$12:D$20,3,FALSE)</f>
        <v>0.25</v>
      </c>
      <c r="E21" s="348" t="e">
        <f>VLOOKUP(INPUTS!K92,'Soil erosion parameters'!$B$44:$H$48,MATCH(INPUTS!L92, 'Soil erosion parameters'!$B$44:$H$44,0), FALSE)</f>
        <v>#N/A</v>
      </c>
      <c r="F21" s="348" t="e">
        <f>VLOOKUP(INPUTS!AI61,'Soil erosion parameters'!B$23:C$36,2,FALSE)</f>
        <v>#N/A</v>
      </c>
      <c r="G21" s="348">
        <v>0.8</v>
      </c>
      <c r="H21" s="349">
        <f t="shared" si="1"/>
        <v>0</v>
      </c>
      <c r="I21" s="350">
        <f>H21*INPUTS!AI61*(1-('N balance'!C$4/365))</f>
        <v>0</v>
      </c>
    </row>
    <row r="22" spans="1:9" s="347" customFormat="1" ht="15">
      <c r="A22" s="348" t="str">
        <f t="shared" si="2"/>
        <v>Rhodes</v>
      </c>
      <c r="B22" s="348" t="str">
        <f>'Area Parameters'!D$4</f>
        <v>Lixisol</v>
      </c>
      <c r="C22" s="349">
        <f>0.55*('Area Parameters'!$D$2/'Area Parameters'!$D$3)-4.7</f>
        <v>105.30000000000001</v>
      </c>
      <c r="D22" s="348">
        <f>VLOOKUP('Area Parameters'!D$4,'Soil erosion parameters'!B$12:D$20,3,FALSE)</f>
        <v>0.25</v>
      </c>
      <c r="E22" s="348" t="e">
        <f>VLOOKUP(INPUTS!K93,'Soil erosion parameters'!$B$44:$H$48,MATCH(INPUTS!L93, 'Soil erosion parameters'!$B$44:$H$44,0), FALSE)</f>
        <v>#N/A</v>
      </c>
      <c r="F22" s="348" t="e">
        <f>VLOOKUP(INPUTS!AI62,'Soil erosion parameters'!B$23:C$36,2,FALSE)</f>
        <v>#N/A</v>
      </c>
      <c r="G22" s="348">
        <v>0.8</v>
      </c>
      <c r="H22" s="349">
        <f t="shared" si="1"/>
        <v>0</v>
      </c>
      <c r="I22" s="350">
        <f>H22*INPUTS!AI62*(1-('N balance'!C$4/365))</f>
        <v>0</v>
      </c>
    </row>
    <row r="23" spans="1:9" s="347" customFormat="1" ht="15">
      <c r="A23" s="348" t="str">
        <f t="shared" si="2"/>
        <v>Guatemala</v>
      </c>
      <c r="B23" s="348" t="str">
        <f>'Area Parameters'!D$4</f>
        <v>Lixisol</v>
      </c>
      <c r="C23" s="349">
        <f>0.55*('Area Parameters'!$D$2/'Area Parameters'!$D$3)-4.7</f>
        <v>105.30000000000001</v>
      </c>
      <c r="D23" s="348">
        <f>VLOOKUP('Area Parameters'!D$4,'Soil erosion parameters'!B$12:D$20,3,FALSE)</f>
        <v>0.25</v>
      </c>
      <c r="E23" s="348" t="e">
        <f>VLOOKUP(INPUTS!K94,'Soil erosion parameters'!$B$44:$H$48,MATCH(INPUTS!L94, 'Soil erosion parameters'!$B$44:$H$44,0), FALSE)</f>
        <v>#N/A</v>
      </c>
      <c r="F23" s="348" t="e">
        <f>VLOOKUP(INPUTS!AG63,'Soil erosion parameters'!B$23:C$36,2,FALSE)</f>
        <v>#N/A</v>
      </c>
      <c r="G23" s="348">
        <v>0.8</v>
      </c>
      <c r="H23" s="349">
        <f t="shared" si="1"/>
        <v>0</v>
      </c>
      <c r="I23" s="350">
        <f>H23*INPUTS!AG63*(1-('N balance'!C$4/365))</f>
        <v>0</v>
      </c>
    </row>
    <row r="24" spans="1:9" s="347" customFormat="1" ht="15">
      <c r="A24" s="348" t="str">
        <f t="shared" si="2"/>
        <v>Maize</v>
      </c>
      <c r="B24" s="348" t="str">
        <f>'Area Parameters'!D$4</f>
        <v>Lixisol</v>
      </c>
      <c r="C24" s="349">
        <f>0.55*('Area Parameters'!$D$2/'Area Parameters'!$D$3)-4.7</f>
        <v>105.30000000000001</v>
      </c>
      <c r="D24" s="348">
        <f>VLOOKUP('Area Parameters'!D$4,'Soil erosion parameters'!B$12:D$20,3,FALSE)</f>
        <v>0.25</v>
      </c>
      <c r="E24" s="348" t="e">
        <f>VLOOKUP(INPUTS!K95,'Soil erosion parameters'!$B$44:$H$48,MATCH(INPUTS!L95, 'Soil erosion parameters'!$B$44:$H$44,0), FALSE)</f>
        <v>#N/A</v>
      </c>
      <c r="F24" s="348" t="e">
        <f>VLOOKUP(INPUTS!AG64,'Soil erosion parameters'!B$23:C$36,2,FALSE)</f>
        <v>#N/A</v>
      </c>
      <c r="G24" s="348">
        <v>0.8</v>
      </c>
      <c r="H24" s="349">
        <f t="shared" si="1"/>
        <v>0</v>
      </c>
      <c r="I24" s="350">
        <f>H24*INPUTS!AG64*(1-('N balance'!C$4/365))</f>
        <v>0</v>
      </c>
    </row>
    <row r="25" spans="1:9" s="347" customFormat="1" ht="15">
      <c r="A25" s="348" t="str">
        <f t="shared" si="2"/>
        <v>Natural pasture</v>
      </c>
      <c r="B25" s="348" t="str">
        <f>'Area Parameters'!D$4</f>
        <v>Lixisol</v>
      </c>
      <c r="C25" s="349">
        <f>0.55*('Area Parameters'!$D$2/'Area Parameters'!$D$3)-4.7</f>
        <v>105.30000000000001</v>
      </c>
      <c r="D25" s="348">
        <f>VLOOKUP('Area Parameters'!D$4,'Soil erosion parameters'!B$12:D$20,3,FALSE)</f>
        <v>0.25</v>
      </c>
      <c r="E25" s="348" t="e">
        <f>VLOOKUP(INPUTS!K96,'Soil erosion parameters'!$B$44:$H$48,MATCH(INPUTS!L96, 'Soil erosion parameters'!$B$44:$H$44,0), FALSE)</f>
        <v>#N/A</v>
      </c>
      <c r="F25" s="348" t="e">
        <f>VLOOKUP(INPUTS!AG65,'Soil erosion parameters'!B$23:C$36,2,FALSE)</f>
        <v>#N/A</v>
      </c>
      <c r="G25" s="348">
        <v>0.8</v>
      </c>
      <c r="H25" s="349">
        <f t="shared" si="1"/>
        <v>0</v>
      </c>
      <c r="I25" s="350">
        <f>H25*INPUTS!AG65*(1-('N balance'!C$4/365))</f>
        <v>0</v>
      </c>
    </row>
    <row r="26" spans="1:9" s="347" customFormat="1" ht="15">
      <c r="A26" s="348" t="str">
        <f t="shared" si="2"/>
        <v>N/A</v>
      </c>
      <c r="B26" s="348" t="str">
        <f>'Area Parameters'!D$4</f>
        <v>Lixisol</v>
      </c>
      <c r="C26" s="349">
        <f>0.55*('Area Parameters'!$D$2/'Area Parameters'!$D$3)-4.7</f>
        <v>105.30000000000001</v>
      </c>
      <c r="D26" s="348">
        <f>VLOOKUP('Area Parameters'!D$4,'Soil erosion parameters'!B$12:D$20,3,FALSE)</f>
        <v>0.25</v>
      </c>
      <c r="E26" s="348" t="e">
        <f>VLOOKUP(INPUTS!K97,'Soil erosion parameters'!$B$44:$H$48,MATCH(INPUTS!L97, 'Soil erosion parameters'!$B$44:$H$44,0), FALSE)</f>
        <v>#N/A</v>
      </c>
      <c r="F26" s="348" t="e">
        <f>VLOOKUP(INPUTS!AG66,'Soil erosion parameters'!B$23:C$36,2,FALSE)</f>
        <v>#N/A</v>
      </c>
      <c r="G26" s="348">
        <v>0.8</v>
      </c>
      <c r="H26" s="349">
        <f t="shared" si="1"/>
        <v>0</v>
      </c>
      <c r="I26" s="350">
        <f>H26*INPUTS!AG66*(1-('N balance'!C$4/365))</f>
        <v>0</v>
      </c>
    </row>
    <row r="27" spans="1:9" s="347" customFormat="1" ht="15">
      <c r="A27" s="348" t="e">
        <f>INPUTS!#REF!</f>
        <v>#REF!</v>
      </c>
      <c r="B27" s="348" t="str">
        <f>'Area Parameters'!D$4</f>
        <v>Lixisol</v>
      </c>
      <c r="C27" s="349">
        <f>0.55*('Area Parameters'!$D$2/'Area Parameters'!$D$3)-4.7</f>
        <v>105.30000000000001</v>
      </c>
      <c r="D27" s="348">
        <f>VLOOKUP('Area Parameters'!D$4,'Soil erosion parameters'!B$12:D$20,3,FALSE)</f>
        <v>0.25</v>
      </c>
      <c r="E27" s="348"/>
      <c r="F27" s="348"/>
      <c r="G27" s="348">
        <v>0.8</v>
      </c>
      <c r="H27" s="349">
        <f t="shared" si="1"/>
        <v>0</v>
      </c>
      <c r="I27" s="350">
        <f>H27*INPUTS!AG67*(1-('N balance'!C$4/365))</f>
        <v>0</v>
      </c>
    </row>
    <row r="28" spans="1:9" s="347" customFormat="1" ht="15">
      <c r="A28" s="348" t="e">
        <f>INPUTS!#REF!</f>
        <v>#REF!</v>
      </c>
      <c r="B28" s="348" t="str">
        <f>'Area Parameters'!D$4</f>
        <v>Lixisol</v>
      </c>
      <c r="C28" s="349">
        <f>0.55*('Area Parameters'!$D$2/'Area Parameters'!$D$3)-4.7</f>
        <v>105.30000000000001</v>
      </c>
      <c r="D28" s="348">
        <f>VLOOKUP('Area Parameters'!D$4,'Soil erosion parameters'!B$12:D$20,3,FALSE)</f>
        <v>0.25</v>
      </c>
      <c r="E28" s="348"/>
      <c r="F28" s="348"/>
      <c r="G28" s="348">
        <v>0.8</v>
      </c>
      <c r="H28" s="349">
        <f t="shared" si="1"/>
        <v>0</v>
      </c>
      <c r="I28" s="350">
        <f>H28*INPUTS!AG68*(1-('N balance'!C$4/365))</f>
        <v>0</v>
      </c>
    </row>
    <row r="29" spans="1:9" s="347" customFormat="1" ht="15">
      <c r="A29" s="348" t="e">
        <f>INPUTS!#REF!</f>
        <v>#REF!</v>
      </c>
      <c r="B29" s="348" t="str">
        <f>'Area Parameters'!D$4</f>
        <v>Lixisol</v>
      </c>
      <c r="C29" s="349">
        <f>0.55*('Area Parameters'!$D$2/'Area Parameters'!$D$3)-4.7</f>
        <v>105.30000000000001</v>
      </c>
      <c r="D29" s="348">
        <f>VLOOKUP('Area Parameters'!D$4,'Soil erosion parameters'!B$12:D$20,3,FALSE)</f>
        <v>0.25</v>
      </c>
      <c r="E29" s="348"/>
      <c r="F29" s="348"/>
      <c r="G29" s="348">
        <v>0.8</v>
      </c>
      <c r="H29" s="349">
        <f t="shared" si="1"/>
        <v>0</v>
      </c>
      <c r="I29" s="350">
        <f>H29*INPUTS!AG69*(1-('N balance'!C$4/365))</f>
        <v>0</v>
      </c>
    </row>
    <row r="30" spans="1:9" s="347" customFormat="1" ht="15">
      <c r="A30" s="348" t="e">
        <f>INPUTS!#REF!</f>
        <v>#REF!</v>
      </c>
      <c r="B30" s="348" t="str">
        <f>'Area Parameters'!D$4</f>
        <v>Lixisol</v>
      </c>
      <c r="C30" s="349">
        <f>0.55*('Area Parameters'!$D$2/'Area Parameters'!$D$3)-4.7</f>
        <v>105.30000000000001</v>
      </c>
      <c r="D30" s="348">
        <f>VLOOKUP('Area Parameters'!D$4,'Soil erosion parameters'!B$12:D$20,3,FALSE)</f>
        <v>0.25</v>
      </c>
      <c r="E30" s="348"/>
      <c r="F30" s="348"/>
      <c r="G30" s="348">
        <v>0.8</v>
      </c>
      <c r="H30" s="349">
        <f t="shared" si="1"/>
        <v>0</v>
      </c>
      <c r="I30" s="350">
        <f>H30*INPUTS!AB64*(1-('N balance'!C$4/365))</f>
        <v>0</v>
      </c>
    </row>
    <row r="31" spans="1:9" s="347" customFormat="1" ht="15">
      <c r="A31" s="348" t="e">
        <f>INPUTS!#REF!</f>
        <v>#REF!</v>
      </c>
      <c r="B31" s="348" t="str">
        <f>'Area Parameters'!D$4</f>
        <v>Lixisol</v>
      </c>
      <c r="C31" s="349">
        <f>0.55*('Area Parameters'!$D$2/'Area Parameters'!$D$3)-4.7</f>
        <v>105.30000000000001</v>
      </c>
      <c r="D31" s="348">
        <f>VLOOKUP('Area Parameters'!D$4,'Soil erosion parameters'!B$12:D$20,3,FALSE)</f>
        <v>0.25</v>
      </c>
      <c r="E31" s="348"/>
      <c r="F31" s="348"/>
      <c r="G31" s="348">
        <v>0.8</v>
      </c>
      <c r="H31" s="349">
        <f t="shared" si="1"/>
        <v>0</v>
      </c>
      <c r="I31" s="350">
        <f>H31*INPUTS!AB65*(1-('N balance'!C$4/365))</f>
        <v>0</v>
      </c>
    </row>
    <row r="32" spans="1:9" s="347" customFormat="1" ht="15">
      <c r="A32" s="348" t="e">
        <f>INPUTS!#REF!</f>
        <v>#REF!</v>
      </c>
      <c r="B32" s="348" t="str">
        <f>'Area Parameters'!D$4</f>
        <v>Lixisol</v>
      </c>
      <c r="C32" s="349">
        <f>0.55*('Area Parameters'!$D$2/'Area Parameters'!$D$3)-4.7</f>
        <v>105.30000000000001</v>
      </c>
      <c r="D32" s="348">
        <f>VLOOKUP('Area Parameters'!D$4,'Soil erosion parameters'!B$12:D$20,3,FALSE)</f>
        <v>0.25</v>
      </c>
      <c r="E32" s="348"/>
      <c r="F32" s="348"/>
      <c r="G32" s="348">
        <v>0.8</v>
      </c>
      <c r="H32" s="349">
        <f t="shared" si="1"/>
        <v>0</v>
      </c>
      <c r="I32" s="350">
        <f>H32*INPUTS!AB66*(1-('N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topLeftCell="A24" workbookViewId="0">
      <selection activeCell="F44" sqref="F44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6">
      <c r="A1" t="s">
        <v>101</v>
      </c>
    </row>
    <row r="2" spans="1:6">
      <c r="B2" s="1" t="s">
        <v>1</v>
      </c>
    </row>
    <row r="3" spans="1:6">
      <c r="B3" s="19" t="s">
        <v>172</v>
      </c>
      <c r="C3" s="1651" t="s">
        <v>266</v>
      </c>
      <c r="D3" s="1651"/>
      <c r="E3" s="19" t="s">
        <v>267</v>
      </c>
    </row>
    <row r="4" spans="1:6" s="30" customFormat="1" ht="63">
      <c r="B4" s="1652" t="s">
        <v>258</v>
      </c>
      <c r="C4" s="33" t="s">
        <v>259</v>
      </c>
      <c r="D4" s="33" t="s">
        <v>262</v>
      </c>
      <c r="E4" s="29" t="s">
        <v>268</v>
      </c>
      <c r="F4"/>
    </row>
    <row r="5" spans="1:6" s="30" customFormat="1" ht="31.5">
      <c r="B5" s="1653"/>
      <c r="C5" s="24" t="s">
        <v>260</v>
      </c>
      <c r="D5" s="24" t="s">
        <v>263</v>
      </c>
      <c r="E5" s="31" t="s">
        <v>269</v>
      </c>
    </row>
    <row r="6" spans="1:6" s="30" customFormat="1" ht="31.5">
      <c r="B6" s="1654"/>
      <c r="C6" s="24"/>
      <c r="D6" s="24" t="s">
        <v>264</v>
      </c>
      <c r="E6" s="31" t="s">
        <v>270</v>
      </c>
    </row>
    <row r="7" spans="1:6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6">
      <c r="B8" s="297" t="str">
        <f>'Livestock parameters'!A2</f>
        <v>Cows (improved)</v>
      </c>
      <c r="C8" s="809">
        <f>INPUTS!D17</f>
        <v>2</v>
      </c>
      <c r="D8" s="883">
        <f>VLOOKUP( INPUTS!$E$3&amp;"|" &amp;$B8,'GHG Parameters'!$D$10:$E$54,2,0)</f>
        <v>46</v>
      </c>
      <c r="E8" s="43">
        <f t="shared" ref="E8:E21" si="0">C8*D8</f>
        <v>92</v>
      </c>
    </row>
    <row r="9" spans="1:6">
      <c r="B9" s="297" t="str">
        <f>'Livestock parameters'!A3</f>
        <v>Steers/heifers</v>
      </c>
      <c r="C9" s="809">
        <f>INPUTS!D18</f>
        <v>3</v>
      </c>
      <c r="D9" s="883">
        <f>VLOOKUP( INPUTS!$E$3&amp;"|" &amp;$B9,'GHG Parameters'!$D$10:$E$54,2,0)</f>
        <v>41</v>
      </c>
      <c r="E9" s="43">
        <f t="shared" si="0"/>
        <v>123</v>
      </c>
    </row>
    <row r="10" spans="1:6">
      <c r="B10" s="297">
        <f>'Livestock parameters'!A4</f>
        <v>0</v>
      </c>
      <c r="C10" s="809">
        <f>INPUTS!D19</f>
        <v>0</v>
      </c>
      <c r="D10" s="883" t="e">
        <f>VLOOKUP( INPUTS!$E$3&amp;"|" &amp;$B10,'GHG Parameters'!$D$10:$E$54,2,0)</f>
        <v>#N/A</v>
      </c>
      <c r="E10" s="43" t="e">
        <f t="shared" si="0"/>
        <v>#N/A</v>
      </c>
    </row>
    <row r="11" spans="1:6">
      <c r="B11" s="297">
        <f>'Livestock parameters'!A5</f>
        <v>0</v>
      </c>
      <c r="C11" s="809">
        <f>INPUTS!D20</f>
        <v>0</v>
      </c>
      <c r="D11" s="883" t="e">
        <f>VLOOKUP( INPUTS!$E$3&amp;"|" &amp;$B11,'GHG Parameters'!$D$10:$E$54,2,0)</f>
        <v>#N/A</v>
      </c>
      <c r="E11" s="43" t="e">
        <f t="shared" si="0"/>
        <v>#N/A</v>
      </c>
    </row>
    <row r="12" spans="1:6">
      <c r="B12" s="297">
        <f>'Livestock parameters'!A6</f>
        <v>0</v>
      </c>
      <c r="C12" s="809">
        <f>INPUTS!D21</f>
        <v>0</v>
      </c>
      <c r="D12" s="883" t="e">
        <f>VLOOKUP( INPUTS!$E$3&amp;"|" &amp;$B12,'GHG Parameters'!$D$10:$E$54,2,0)</f>
        <v>#N/A</v>
      </c>
      <c r="E12" s="43" t="e">
        <f t="shared" si="0"/>
        <v>#N/A</v>
      </c>
    </row>
    <row r="13" spans="1:6">
      <c r="B13" s="297">
        <f>'Livestock parameters'!A7</f>
        <v>0</v>
      </c>
      <c r="C13" s="809">
        <f>INPUTS!D22</f>
        <v>0</v>
      </c>
      <c r="D13" s="883" t="e">
        <f>VLOOKUP( INPUTS!$E$3&amp;"|" &amp;$B13,'GHG Parameters'!$D$10:$E$54,2,0)</f>
        <v>#N/A</v>
      </c>
      <c r="E13" s="43" t="e">
        <f t="shared" si="0"/>
        <v>#N/A</v>
      </c>
    </row>
    <row r="14" spans="1:6">
      <c r="B14" s="297">
        <f>'Livestock parameters'!A8</f>
        <v>0</v>
      </c>
      <c r="C14" s="809">
        <f>INPUTS!D23</f>
        <v>0</v>
      </c>
      <c r="D14" s="883" t="e">
        <f>VLOOKUP( INPUTS!$E$3&amp;"|" &amp;$B14,'GHG Parameters'!$D$10:$E$54,2,0)</f>
        <v>#N/A</v>
      </c>
      <c r="E14" s="43" t="e">
        <f t="shared" si="0"/>
        <v>#N/A</v>
      </c>
    </row>
    <row r="15" spans="1:6">
      <c r="B15" s="297">
        <f>'Livestock parameters'!A9</f>
        <v>0</v>
      </c>
      <c r="C15" s="809">
        <f>INPUTS!D24</f>
        <v>0</v>
      </c>
      <c r="D15" s="883" t="e">
        <f>VLOOKUP( INPUTS!$E$3&amp;"|" &amp;$B15,'GHG Parameters'!$D$10:$E$54,2,0)</f>
        <v>#N/A</v>
      </c>
      <c r="E15" s="43" t="e">
        <f t="shared" si="0"/>
        <v>#N/A</v>
      </c>
    </row>
    <row r="16" spans="1:6" s="962" customFormat="1">
      <c r="B16" s="297">
        <f>'Livestock parameters'!A10</f>
        <v>0</v>
      </c>
      <c r="C16" s="809">
        <f>INPUTS!D25</f>
        <v>0</v>
      </c>
      <c r="D16" s="883" t="e">
        <f>VLOOKUP( INPUTS!$E$3&amp;"|" &amp;$B16,'GHG Parameters'!$D$10:$E$54,2,0)</f>
        <v>#N/A</v>
      </c>
      <c r="E16" s="43" t="e">
        <f t="shared" si="0"/>
        <v>#N/A</v>
      </c>
    </row>
    <row r="17" spans="2:8" s="962" customFormat="1">
      <c r="B17" s="297">
        <f>'Livestock parameters'!A11</f>
        <v>0</v>
      </c>
      <c r="C17" s="809">
        <f>INPUTS!D26</f>
        <v>0</v>
      </c>
      <c r="D17" s="883" t="e">
        <f>VLOOKUP( INPUTS!$E$3&amp;"|" &amp;$B17,'GHG Parameters'!$D$10:$E$54,2,0)</f>
        <v>#N/A</v>
      </c>
      <c r="E17" s="43" t="e">
        <f t="shared" si="0"/>
        <v>#N/A</v>
      </c>
    </row>
    <row r="18" spans="2:8">
      <c r="B18" s="297">
        <f>'Livestock parameters'!A12</f>
        <v>0</v>
      </c>
      <c r="C18" s="809">
        <f>INPUTS!D27</f>
        <v>0</v>
      </c>
      <c r="D18" s="883" t="e">
        <f>VLOOKUP( INPUTS!$E$3&amp;"|" &amp;$B18,'GHG Parameters'!$D$10:$E$54,2,0)</f>
        <v>#N/A</v>
      </c>
      <c r="E18" s="43" t="e">
        <f t="shared" si="0"/>
        <v>#N/A</v>
      </c>
    </row>
    <row r="19" spans="2:8" s="904" customFormat="1">
      <c r="B19" s="297">
        <f>'Livestock parameters'!A13</f>
        <v>0</v>
      </c>
      <c r="C19" s="809">
        <f>INPUTS!D28</f>
        <v>0</v>
      </c>
      <c r="D19" s="883" t="e">
        <f>VLOOKUP( INPUTS!$E$3&amp;"|" &amp;$B19,'GHG Parameters'!$D$10:$E$54,2,0)</f>
        <v>#N/A</v>
      </c>
      <c r="E19" s="43" t="e">
        <f t="shared" si="0"/>
        <v>#N/A</v>
      </c>
    </row>
    <row r="20" spans="2:8" s="904" customFormat="1">
      <c r="B20" s="297">
        <f>'Livestock parameters'!A14</f>
        <v>0</v>
      </c>
      <c r="C20" s="809">
        <f>INPUTS!D29</f>
        <v>0</v>
      </c>
      <c r="D20" s="883" t="e">
        <f>VLOOKUP( INPUTS!$E$3&amp;"|" &amp;$B20,'GHG Parameters'!$D$10:$E$54,2,0)</f>
        <v>#N/A</v>
      </c>
      <c r="E20" s="43" t="e">
        <f t="shared" si="0"/>
        <v>#N/A</v>
      </c>
    </row>
    <row r="21" spans="2:8" s="884" customFormat="1">
      <c r="B21" s="297">
        <f>'Livestock parameters'!A15</f>
        <v>0</v>
      </c>
      <c r="C21" s="809">
        <f>INPUTS!D30</f>
        <v>0</v>
      </c>
      <c r="D21" s="883" t="e">
        <f>VLOOKUP( INPUTS!$E$3&amp;"|" &amp;$B21,'GHG Parameters'!$D$10:$E$54,2,0)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215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279</v>
      </c>
      <c r="F26" s="23"/>
    </row>
    <row r="27" spans="2:8" ht="47.25">
      <c r="B27" s="1645" t="s">
        <v>258</v>
      </c>
      <c r="C27" s="27" t="s">
        <v>377</v>
      </c>
      <c r="D27" s="33" t="s">
        <v>259</v>
      </c>
      <c r="E27" s="112" t="s">
        <v>282</v>
      </c>
      <c r="F27" s="29" t="s">
        <v>1308</v>
      </c>
    </row>
    <row r="28" spans="2:8">
      <c r="B28" s="1645"/>
      <c r="C28" s="27" t="s">
        <v>278</v>
      </c>
      <c r="D28" s="24" t="s">
        <v>260</v>
      </c>
      <c r="E28" s="24" t="s">
        <v>269</v>
      </c>
      <c r="F28" s="31" t="s">
        <v>269</v>
      </c>
    </row>
    <row r="29" spans="2:8" ht="31.5">
      <c r="B29" s="1645"/>
      <c r="C29" s="27"/>
      <c r="D29" s="24"/>
      <c r="E29" s="24" t="s">
        <v>280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281</v>
      </c>
      <c r="F30" s="44" t="s">
        <v>271</v>
      </c>
    </row>
    <row r="31" spans="2:8">
      <c r="B31" s="297" t="str">
        <f t="shared" ref="B31:B38" si="1">B8</f>
        <v>Cows (improved)</v>
      </c>
      <c r="C31" s="490">
        <f>Feed!P143/365</f>
        <v>378.34027684479474</v>
      </c>
      <c r="D31" s="120">
        <f>INPUTS!D17</f>
        <v>2</v>
      </c>
      <c r="E31" s="68">
        <v>0</v>
      </c>
      <c r="F31" s="69">
        <f t="shared" ref="F31:F44" si="2">E31*D31</f>
        <v>0</v>
      </c>
      <c r="H31" s="72"/>
    </row>
    <row r="32" spans="2:8">
      <c r="B32" s="297" t="str">
        <f t="shared" si="1"/>
        <v>Steers/heifers</v>
      </c>
      <c r="C32" s="490">
        <f>Feed!P144/365</f>
        <v>431.3103933970707</v>
      </c>
      <c r="D32" s="120">
        <f>INPUTS!D18</f>
        <v>3</v>
      </c>
      <c r="E32" s="68">
        <f>((C32*(VLOOKUP(B32,'GHG Parameters'!$A$62:$C$76,3,FALSE)/100)*365)/55.65)/D32</f>
        <v>61.292836677720892</v>
      </c>
      <c r="F32" s="69">
        <f t="shared" si="2"/>
        <v>183.87851003316268</v>
      </c>
    </row>
    <row r="33" spans="2:7">
      <c r="B33" s="297">
        <f t="shared" si="1"/>
        <v>0</v>
      </c>
      <c r="C33" s="490">
        <f>Feed!P145/365</f>
        <v>0</v>
      </c>
      <c r="D33" s="120">
        <f>INPUTS!D19</f>
        <v>0</v>
      </c>
      <c r="E33" s="68">
        <v>0</v>
      </c>
      <c r="F33" s="69">
        <f t="shared" si="2"/>
        <v>0</v>
      </c>
    </row>
    <row r="34" spans="2:7">
      <c r="B34" s="297">
        <f t="shared" si="1"/>
        <v>0</v>
      </c>
      <c r="C34" s="490">
        <f>Feed!P146/365</f>
        <v>0</v>
      </c>
      <c r="D34" s="120">
        <f>INPUTS!D20</f>
        <v>0</v>
      </c>
      <c r="E34" s="68">
        <v>0</v>
      </c>
      <c r="F34" s="69">
        <f t="shared" si="2"/>
        <v>0</v>
      </c>
    </row>
    <row r="35" spans="2:7">
      <c r="B35" s="297">
        <f t="shared" si="1"/>
        <v>0</v>
      </c>
      <c r="C35" s="490">
        <f>Feed!P147/365</f>
        <v>0</v>
      </c>
      <c r="D35" s="120">
        <f>INPUTS!D21</f>
        <v>0</v>
      </c>
      <c r="E35" s="68" t="e">
        <f>((C35*(VLOOKUP(B35,'GHG Parameters'!$A$62:$C$76,3,FALSE)/100)*365)/55.65)/D35</f>
        <v>#N/A</v>
      </c>
      <c r="F35" s="69" t="e">
        <f t="shared" si="2"/>
        <v>#N/A</v>
      </c>
    </row>
    <row r="36" spans="2:7" ht="17.45" customHeight="1">
      <c r="B36" s="297">
        <f t="shared" si="1"/>
        <v>0</v>
      </c>
      <c r="C36" s="490">
        <f>Feed!P148/365</f>
        <v>0</v>
      </c>
      <c r="D36" s="120">
        <f>INPUTS!D22</f>
        <v>0</v>
      </c>
      <c r="E36" s="68">
        <v>0</v>
      </c>
      <c r="F36" s="69">
        <f t="shared" si="2"/>
        <v>0</v>
      </c>
    </row>
    <row r="37" spans="2:7">
      <c r="B37" s="297">
        <f t="shared" si="1"/>
        <v>0</v>
      </c>
      <c r="C37" s="490">
        <f>Feed!P149/365</f>
        <v>0</v>
      </c>
      <c r="D37" s="120">
        <f>INPUTS!D23</f>
        <v>0</v>
      </c>
      <c r="E37" s="68">
        <v>0</v>
      </c>
      <c r="F37" s="69">
        <f t="shared" si="2"/>
        <v>0</v>
      </c>
    </row>
    <row r="38" spans="2:7">
      <c r="B38" s="297">
        <f t="shared" si="1"/>
        <v>0</v>
      </c>
      <c r="C38" s="490">
        <f>Feed!P150/365</f>
        <v>0</v>
      </c>
      <c r="D38" s="882">
        <f>INPUTS!D24</f>
        <v>0</v>
      </c>
      <c r="E38" s="68">
        <v>0</v>
      </c>
      <c r="F38" s="69">
        <f t="shared" si="2"/>
        <v>0</v>
      </c>
      <c r="G38" s="39"/>
    </row>
    <row r="39" spans="2:7" s="962" customFormat="1">
      <c r="B39" s="297">
        <f t="shared" ref="B39:B40" si="3">B16</f>
        <v>0</v>
      </c>
      <c r="C39" s="490">
        <f>Feed!P151/365</f>
        <v>0</v>
      </c>
      <c r="D39" s="882">
        <f>INPUTS!D25</f>
        <v>0</v>
      </c>
      <c r="E39" s="68">
        <v>0</v>
      </c>
      <c r="F39" s="69">
        <f t="shared" si="2"/>
        <v>0</v>
      </c>
    </row>
    <row r="40" spans="2:7" s="962" customFormat="1">
      <c r="B40" s="297">
        <f t="shared" si="3"/>
        <v>0</v>
      </c>
      <c r="C40" s="490">
        <f>Feed!P152/365</f>
        <v>0</v>
      </c>
      <c r="D40" s="882">
        <f>INPUTS!D26</f>
        <v>0</v>
      </c>
      <c r="E40" s="68">
        <v>0</v>
      </c>
      <c r="F40" s="69">
        <f t="shared" si="2"/>
        <v>0</v>
      </c>
    </row>
    <row r="41" spans="2:7">
      <c r="B41" s="297">
        <f t="shared" ref="B41" si="4">B18</f>
        <v>0</v>
      </c>
      <c r="C41" s="490">
        <f>Feed!P153/365</f>
        <v>0</v>
      </c>
      <c r="D41" s="882">
        <f>INPUTS!D27</f>
        <v>0</v>
      </c>
      <c r="E41" s="68">
        <v>0</v>
      </c>
      <c r="F41" s="69">
        <f t="shared" si="2"/>
        <v>0</v>
      </c>
    </row>
    <row r="42" spans="2:7" s="904" customFormat="1">
      <c r="B42" s="297">
        <f>B19</f>
        <v>0</v>
      </c>
      <c r="C42" s="490">
        <f>Feed!P154/365</f>
        <v>0</v>
      </c>
      <c r="D42" s="882">
        <f>INPUTS!D28</f>
        <v>0</v>
      </c>
      <c r="E42" s="68">
        <v>0</v>
      </c>
      <c r="F42" s="69">
        <f t="shared" si="2"/>
        <v>0</v>
      </c>
    </row>
    <row r="43" spans="2:7" s="904" customFormat="1">
      <c r="B43" s="297">
        <f>B20</f>
        <v>0</v>
      </c>
      <c r="C43" s="490">
        <f>Feed!P155/365</f>
        <v>0</v>
      </c>
      <c r="D43" s="882">
        <f>INPUTS!D29</f>
        <v>0</v>
      </c>
      <c r="E43" s="68">
        <v>0</v>
      </c>
      <c r="F43" s="69">
        <f t="shared" si="2"/>
        <v>0</v>
      </c>
    </row>
    <row r="44" spans="2:7" s="896" customFormat="1">
      <c r="B44" s="297">
        <f>B21</f>
        <v>0</v>
      </c>
      <c r="C44" s="490">
        <f>Feed!P156/365</f>
        <v>0</v>
      </c>
      <c r="D44" s="882">
        <f>INPUTS!D30</f>
        <v>0</v>
      </c>
      <c r="E44" s="68">
        <v>0</v>
      </c>
      <c r="F44" s="69">
        <f t="shared" si="2"/>
        <v>0</v>
      </c>
    </row>
    <row r="45" spans="2:7">
      <c r="B45" s="19"/>
      <c r="C45" s="19"/>
      <c r="D45" s="19"/>
      <c r="E45" s="71" t="s">
        <v>2</v>
      </c>
      <c r="F45" s="79">
        <f>SUMIF(F31:F44,"&lt;&gt;#N/A")</f>
        <v>183.87851003316268</v>
      </c>
    </row>
    <row r="49" spans="2:5">
      <c r="B49" s="37"/>
    </row>
    <row r="50" spans="2:5">
      <c r="B50" s="37"/>
    </row>
    <row r="53" spans="2:5">
      <c r="B53" s="12"/>
      <c r="C53" s="1650"/>
      <c r="D53" s="1650"/>
      <c r="E53" s="1650"/>
    </row>
    <row r="54" spans="2:5">
      <c r="B54" s="2"/>
      <c r="C54" s="816"/>
      <c r="D54" s="152"/>
      <c r="E54" s="51"/>
    </row>
    <row r="55" spans="2:5">
      <c r="B55" s="2"/>
      <c r="C55" s="30"/>
      <c r="D55" s="684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2"/>
      <c r="C58" s="817"/>
      <c r="D58" s="63"/>
      <c r="E58" s="12"/>
    </row>
    <row r="59" spans="2:5">
      <c r="B59" s="152"/>
      <c r="C59" s="817"/>
      <c r="D59" s="63"/>
      <c r="E59" s="12"/>
    </row>
    <row r="60" spans="2:5">
      <c r="B60" s="152"/>
      <c r="C60" s="817"/>
      <c r="D60" s="63"/>
      <c r="E60" s="12"/>
    </row>
    <row r="61" spans="2:5">
      <c r="B61" s="152"/>
      <c r="C61" s="817"/>
      <c r="D61" s="63"/>
      <c r="E61" s="12"/>
    </row>
    <row r="62" spans="2:5">
      <c r="B62" s="152"/>
      <c r="C62" s="817"/>
      <c r="D62" s="63"/>
      <c r="E62" s="12"/>
    </row>
    <row r="63" spans="2:5">
      <c r="B63" s="152"/>
      <c r="C63" s="817"/>
      <c r="D63" s="63"/>
      <c r="E63" s="12"/>
    </row>
    <row r="64" spans="2:5">
      <c r="B64" s="152"/>
      <c r="C64" s="817"/>
      <c r="D64" s="63"/>
      <c r="E64" s="12"/>
    </row>
    <row r="65" spans="2:5">
      <c r="B65" s="152"/>
      <c r="C65" s="817"/>
      <c r="D65" s="63"/>
      <c r="E65" s="12"/>
    </row>
    <row r="66" spans="2:5">
      <c r="B66" s="152"/>
      <c r="C66" s="817"/>
      <c r="D66" s="63"/>
      <c r="E66" s="12"/>
    </row>
    <row r="67" spans="2:5">
      <c r="B67" s="1649"/>
      <c r="C67" s="1649"/>
      <c r="D67" s="1649"/>
      <c r="E67" s="210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0"/>
  <sheetViews>
    <sheetView topLeftCell="A133" zoomScale="70" zoomScaleNormal="70" workbookViewId="0">
      <selection activeCell="J191" sqref="J191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656" t="s">
        <v>277</v>
      </c>
      <c r="D4" s="1657"/>
      <c r="E4" s="1658"/>
    </row>
    <row r="5" spans="1:5" ht="31.5">
      <c r="B5" s="1652" t="s">
        <v>258</v>
      </c>
      <c r="C5" s="33" t="s">
        <v>259</v>
      </c>
      <c r="D5" s="33" t="s">
        <v>274</v>
      </c>
      <c r="E5" s="29" t="s">
        <v>275</v>
      </c>
    </row>
    <row r="6" spans="1:5">
      <c r="B6" s="1653"/>
      <c r="C6" s="24" t="s">
        <v>260</v>
      </c>
      <c r="D6" s="24" t="s">
        <v>263</v>
      </c>
      <c r="E6" s="31" t="s">
        <v>269</v>
      </c>
    </row>
    <row r="7" spans="1:5">
      <c r="B7" s="1654"/>
      <c r="C7" s="24"/>
      <c r="D7" s="24" t="s">
        <v>276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2" t="str">
        <f>INPUTS!C17</f>
        <v>Cows (improved)</v>
      </c>
      <c r="C9" s="24">
        <f>INPUTS!D17</f>
        <v>2</v>
      </c>
      <c r="D9" s="81">
        <f>VLOOKUP( INPUTS!$E$3&amp;"|" &amp;$B9,'GHG Parameters'!$D$80:$G$124,3,0)</f>
        <v>1</v>
      </c>
      <c r="E9" s="31">
        <f t="shared" ref="E9:E16" si="0">C9*D9</f>
        <v>2</v>
      </c>
    </row>
    <row r="10" spans="1:5">
      <c r="B10" s="112" t="str">
        <f>INPUTS!C18</f>
        <v>Steers/heifers</v>
      </c>
      <c r="C10" s="24">
        <f>INPUTS!D18</f>
        <v>3</v>
      </c>
      <c r="D10" s="81">
        <f>VLOOKUP( INPUTS!$E$3&amp;"|" &amp;$B10,'GHG Parameters'!$D$80:$G$124,3,0)</f>
        <v>1</v>
      </c>
      <c r="E10" s="31">
        <f t="shared" si="0"/>
        <v>3</v>
      </c>
    </row>
    <row r="11" spans="1:5">
      <c r="B11" s="112">
        <f>INPUTS!C19</f>
        <v>0</v>
      </c>
      <c r="C11" s="24">
        <f>INPUTS!D19</f>
        <v>0</v>
      </c>
      <c r="D11" s="81" t="e">
        <f>VLOOKUP( INPUTS!$E$3&amp;"|" &amp;$B11,'GHG Parameters'!$D$80:$G$124,3,0)</f>
        <v>#N/A</v>
      </c>
      <c r="E11" s="31" t="e">
        <f t="shared" si="0"/>
        <v>#N/A</v>
      </c>
    </row>
    <row r="12" spans="1:5">
      <c r="B12" s="112">
        <f>INPUTS!C20</f>
        <v>0</v>
      </c>
      <c r="C12" s="24">
        <f>INPUTS!D20</f>
        <v>0</v>
      </c>
      <c r="D12" s="81" t="e">
        <f>VLOOKUP( INPUTS!$E$3&amp;"|" &amp;$B12,'GHG Parameters'!$D$80:$G$124,3,0)</f>
        <v>#N/A</v>
      </c>
      <c r="E12" s="31" t="e">
        <f t="shared" si="0"/>
        <v>#N/A</v>
      </c>
    </row>
    <row r="13" spans="1:5">
      <c r="B13" s="112">
        <f>INPUTS!C21</f>
        <v>0</v>
      </c>
      <c r="C13" s="24">
        <f>INPUTS!D21</f>
        <v>0</v>
      </c>
      <c r="D13" s="81" t="e">
        <f>VLOOKUP( INPUTS!$E$3&amp;"|" &amp;$B13,'GHG Parameters'!$D$80:$G$124,3,0)</f>
        <v>#N/A</v>
      </c>
      <c r="E13" s="31" t="e">
        <f t="shared" si="0"/>
        <v>#N/A</v>
      </c>
    </row>
    <row r="14" spans="1:5" ht="17.25" customHeight="1">
      <c r="B14" s="112">
        <f>INPUTS!C22</f>
        <v>0</v>
      </c>
      <c r="C14" s="24">
        <f>INPUTS!D22</f>
        <v>0</v>
      </c>
      <c r="D14" s="81" t="e">
        <f>VLOOKUP( INPUTS!$E$3&amp;"|" &amp;$B14,'GHG Parameters'!$D$80:$G$124,3,0)</f>
        <v>#N/A</v>
      </c>
      <c r="E14" s="31" t="e">
        <f t="shared" si="0"/>
        <v>#N/A</v>
      </c>
    </row>
    <row r="15" spans="1:5">
      <c r="B15" s="112">
        <f>INPUTS!C23</f>
        <v>0</v>
      </c>
      <c r="C15" s="24">
        <f>INPUTS!D23</f>
        <v>0</v>
      </c>
      <c r="D15" s="81" t="e">
        <f>VLOOKUP( INPUTS!$E$3&amp;"|" &amp;$B15,'GHG Parameters'!$D$80:$G$124,3,0)</f>
        <v>#N/A</v>
      </c>
      <c r="E15" s="31" t="e">
        <f t="shared" si="0"/>
        <v>#N/A</v>
      </c>
    </row>
    <row r="16" spans="1:5">
      <c r="B16" s="112">
        <f>INPUTS!C24</f>
        <v>0</v>
      </c>
      <c r="C16" s="24">
        <f>INPUTS!D24</f>
        <v>0</v>
      </c>
      <c r="D16" s="81" t="e">
        <f>VLOOKUP( INPUTS!$E$3&amp;"|" &amp;$B16,'GHG Parameters'!$D$80:$G$124,3,0)</f>
        <v>#N/A</v>
      </c>
      <c r="E16" s="31" t="e">
        <f t="shared" si="0"/>
        <v>#N/A</v>
      </c>
    </row>
    <row r="17" spans="2:16" s="896" customFormat="1">
      <c r="B17" s="895">
        <f>INPUTS!C25</f>
        <v>0</v>
      </c>
      <c r="C17" s="894">
        <f>INPUTS!D25</f>
        <v>0</v>
      </c>
      <c r="D17" s="81" t="e">
        <f>VLOOKUP( INPUTS!$E$3&amp;"|" &amp;$B17,'GHG Parameters'!$D$80:$G$124,3,0)</f>
        <v>#N/A</v>
      </c>
      <c r="E17" s="897" t="e">
        <f t="shared" ref="E17:E22" si="1">C17*D17</f>
        <v>#N/A</v>
      </c>
    </row>
    <row r="18" spans="2:16" s="962" customFormat="1">
      <c r="B18" s="986">
        <f>INPUTS!C26</f>
        <v>0</v>
      </c>
      <c r="C18" s="985">
        <f>INPUTS!D26</f>
        <v>0</v>
      </c>
      <c r="D18" s="81" t="e">
        <f>VLOOKUP( INPUTS!$E$3&amp;"|" &amp;$B18,'GHG Parameters'!$D$80:$G$124,3,0)</f>
        <v>#N/A</v>
      </c>
      <c r="E18" s="963" t="e">
        <f t="shared" ref="E18:E19" si="2">C18*D18</f>
        <v>#N/A</v>
      </c>
    </row>
    <row r="19" spans="2:16" s="962" customFormat="1">
      <c r="B19" s="986">
        <f>INPUTS!C27</f>
        <v>0</v>
      </c>
      <c r="C19" s="985">
        <f>INPUTS!D27</f>
        <v>0</v>
      </c>
      <c r="D19" s="81" t="e">
        <f>VLOOKUP( INPUTS!$E$3&amp;"|" &amp;$B19,'GHG Parameters'!$D$80:$G$124,3,0)</f>
        <v>#N/A</v>
      </c>
      <c r="E19" s="963" t="e">
        <f t="shared" si="2"/>
        <v>#N/A</v>
      </c>
    </row>
    <row r="20" spans="2:16" s="904" customFormat="1" ht="15.75" customHeight="1">
      <c r="B20" s="986">
        <f>INPUTS!C28</f>
        <v>0</v>
      </c>
      <c r="C20" s="985">
        <f>INPUTS!D28</f>
        <v>0</v>
      </c>
      <c r="D20" s="81" t="e">
        <f>VLOOKUP( INPUTS!$E$3&amp;"|" &amp;$B20,'GHG Parameters'!$D$80:$G$124,3,0)</f>
        <v>#N/A</v>
      </c>
      <c r="E20" s="905" t="e">
        <f t="shared" si="1"/>
        <v>#N/A</v>
      </c>
    </row>
    <row r="21" spans="2:16" s="904" customFormat="1">
      <c r="B21" s="986">
        <f>INPUTS!C29</f>
        <v>0</v>
      </c>
      <c r="C21" s="985">
        <f>INPUTS!D29</f>
        <v>0</v>
      </c>
      <c r="D21" s="81" t="e">
        <f>VLOOKUP( INPUTS!$E$3&amp;"|" &amp;$B21,'GHG Parameters'!$D$80:$G$124,3,0)</f>
        <v>#N/A</v>
      </c>
      <c r="E21" s="905" t="e">
        <f t="shared" si="1"/>
        <v>#N/A</v>
      </c>
    </row>
    <row r="22" spans="2:16">
      <c r="B22" s="986">
        <f>INPUTS!C30</f>
        <v>0</v>
      </c>
      <c r="C22" s="985">
        <f>INPUTS!D30</f>
        <v>0</v>
      </c>
      <c r="D22" s="81" t="e">
        <f>VLOOKUP( INPUTS!$E$3&amp;"|" &amp;$B22,'GHG Parameters'!$D$80:$G$124,3,0)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5</v>
      </c>
    </row>
    <row r="25" spans="2:16">
      <c r="B25" s="1" t="s">
        <v>609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367</v>
      </c>
      <c r="H26" s="26"/>
      <c r="I26" s="26"/>
      <c r="J26" s="26"/>
      <c r="K26" s="26"/>
      <c r="L26" s="26"/>
      <c r="M26" s="26"/>
      <c r="N26" s="26"/>
      <c r="O26" s="26" t="s">
        <v>386</v>
      </c>
      <c r="P26" s="46"/>
    </row>
    <row r="27" spans="2:16" s="10" customFormat="1" ht="47.25">
      <c r="B27" s="1627" t="s">
        <v>258</v>
      </c>
      <c r="C27" s="24" t="s">
        <v>368</v>
      </c>
      <c r="D27" s="24" t="s">
        <v>369</v>
      </c>
      <c r="E27" s="24" t="s">
        <v>370</v>
      </c>
      <c r="F27" s="24" t="s">
        <v>375</v>
      </c>
      <c r="G27" s="31" t="s">
        <v>374</v>
      </c>
      <c r="H27" s="114" t="s">
        <v>383</v>
      </c>
      <c r="I27" s="1562" t="s">
        <v>662</v>
      </c>
      <c r="J27" s="1563"/>
      <c r="K27" s="1564"/>
      <c r="L27" s="1562" t="s">
        <v>393</v>
      </c>
      <c r="M27" s="1563"/>
      <c r="N27" s="1564"/>
      <c r="O27" s="24" t="s">
        <v>1322</v>
      </c>
      <c r="P27" s="31" t="s">
        <v>663</v>
      </c>
    </row>
    <row r="28" spans="2:16" s="10" customFormat="1">
      <c r="B28" s="1627"/>
      <c r="C28" s="24" t="s">
        <v>372</v>
      </c>
      <c r="D28" s="24" t="s">
        <v>120</v>
      </c>
      <c r="E28" s="24" t="s">
        <v>120</v>
      </c>
      <c r="F28" s="24" t="s">
        <v>120</v>
      </c>
      <c r="G28" s="31" t="s">
        <v>373</v>
      </c>
      <c r="H28" s="114" t="s">
        <v>384</v>
      </c>
      <c r="I28" s="1562" t="s">
        <v>153</v>
      </c>
      <c r="J28" s="1563"/>
      <c r="K28" s="1564"/>
      <c r="L28" s="1562" t="s">
        <v>120</v>
      </c>
      <c r="M28" s="1563"/>
      <c r="N28" s="1564"/>
      <c r="O28" s="24" t="s">
        <v>263</v>
      </c>
      <c r="P28" s="31" t="s">
        <v>269</v>
      </c>
    </row>
    <row r="29" spans="2:16" s="10" customFormat="1" ht="47.25" customHeight="1">
      <c r="B29" s="1627"/>
      <c r="C29" s="1559"/>
      <c r="D29" s="1559"/>
      <c r="E29" s="1559"/>
      <c r="F29" s="1560"/>
      <c r="G29" s="1675" t="s">
        <v>390</v>
      </c>
      <c r="H29" s="114" t="s">
        <v>1666</v>
      </c>
      <c r="I29" s="83"/>
      <c r="J29" s="84"/>
      <c r="K29" s="85"/>
      <c r="L29" s="1559" t="s">
        <v>392</v>
      </c>
      <c r="M29" s="1559"/>
      <c r="N29" s="1559"/>
      <c r="O29" s="24"/>
      <c r="P29" s="31"/>
    </row>
    <row r="30" spans="2:16" s="10" customFormat="1" ht="50.25" customHeight="1">
      <c r="B30" s="1627"/>
      <c r="C30" s="1559"/>
      <c r="D30" s="1559"/>
      <c r="E30" s="1559"/>
      <c r="F30" s="1560"/>
      <c r="G30" s="1675"/>
      <c r="H30" s="116"/>
      <c r="I30" s="1562" t="s">
        <v>387</v>
      </c>
      <c r="J30" s="1563"/>
      <c r="K30" s="1564"/>
      <c r="L30" s="1559" t="s">
        <v>391</v>
      </c>
      <c r="M30" s="1559"/>
      <c r="N30" s="1559"/>
      <c r="O30" s="24" t="s">
        <v>394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371</v>
      </c>
      <c r="E31" s="24" t="s">
        <v>116</v>
      </c>
      <c r="F31" s="903" t="s">
        <v>117</v>
      </c>
      <c r="G31" s="31" t="s">
        <v>118</v>
      </c>
      <c r="H31" s="112" t="s">
        <v>382</v>
      </c>
      <c r="I31" s="83" t="str">
        <f>INPUTS!D33</f>
        <v>solid storage</v>
      </c>
      <c r="J31" s="83" t="s">
        <v>1323</v>
      </c>
      <c r="K31" s="24" t="s">
        <v>1640</v>
      </c>
      <c r="L31" s="83" t="str">
        <f>INPUTS!D33</f>
        <v>solid storage</v>
      </c>
      <c r="M31" s="83" t="str">
        <f>INPUTS!D34</f>
        <v xml:space="preserve">dry lot </v>
      </c>
      <c r="N31" s="83" t="str">
        <f>INPUTS!D35</f>
        <v xml:space="preserve">Pasture / range / paddock </v>
      </c>
      <c r="O31" s="24" t="s">
        <v>265</v>
      </c>
      <c r="P31" s="31" t="s">
        <v>273</v>
      </c>
    </row>
    <row r="32" spans="2:16">
      <c r="B32" s="112" t="str">
        <f>INPUTS!C17</f>
        <v>Cows (improved)</v>
      </c>
      <c r="C32" s="45">
        <f>Feed!P143/365</f>
        <v>378.34027684479474</v>
      </c>
      <c r="D32" s="497">
        <f>Feed!AE9</f>
        <v>0.50192295517808216</v>
      </c>
      <c r="E32" s="45">
        <v>0.04</v>
      </c>
      <c r="F32" s="76">
        <v>0.08</v>
      </c>
      <c r="G32" s="73">
        <f t="shared" ref="G32:G42" si="3">(C32*(1-D32)+(E32*C32))*((1-F32)/18.65)</f>
        <v>10.042365718692396</v>
      </c>
      <c r="H32" s="117">
        <v>0.13</v>
      </c>
      <c r="I32" s="118">
        <f>(L32)*INPUTS!H17</f>
        <v>0.04</v>
      </c>
      <c r="J32" s="118">
        <f>(M32)*INPUTS!I17</f>
        <v>0</v>
      </c>
      <c r="K32" s="118">
        <f>(N32)*INPUTS!J17</f>
        <v>0</v>
      </c>
      <c r="L32" s="45">
        <f>INDEX('GHG Parameters'!$B$166:$B$168,MATCH(INPUTS!$D$33,'GHG Parameters'!$A$166:$A$168,0))</f>
        <v>0.04</v>
      </c>
      <c r="M32" s="45">
        <f>INDEX('GHG Parameters'!$B$166:$B$168,MATCH(INPUTS!$D$34,'GHG Parameters'!$A$166:$A$168,0))</f>
        <v>1.4999999999999999E-2</v>
      </c>
      <c r="N32" s="45">
        <f>INDEX('GHG Parameters'!$B$166:$B$168,MATCH(INPUTS!$D$35,'GHG Parameters'!$A$166:$A$168,0))</f>
        <v>1.4999999999999999E-2</v>
      </c>
      <c r="O32" s="45">
        <f>(G32*365)*(H32*0.67*(SUM(I32:K32)))</f>
        <v>12.770474789832374</v>
      </c>
      <c r="P32" s="47">
        <f>O32</f>
        <v>12.770474789832374</v>
      </c>
    </row>
    <row r="33" spans="1:16">
      <c r="B33" s="986" t="str">
        <f>INPUTS!C18</f>
        <v>Steers/heifers</v>
      </c>
      <c r="C33" s="45">
        <f>Feed!P144/365</f>
        <v>431.3103933970707</v>
      </c>
      <c r="D33" s="497">
        <f>Feed!AE16</f>
        <v>0.50192295517808216</v>
      </c>
      <c r="E33" s="45">
        <v>0.04</v>
      </c>
      <c r="F33" s="76">
        <v>0.08</v>
      </c>
      <c r="G33" s="73">
        <f>(C33*(1-D33)+(E33*C33))*((1-F33)/18.65)</f>
        <v>11.448362687917893</v>
      </c>
      <c r="H33" s="117">
        <v>0.13</v>
      </c>
      <c r="I33" s="118">
        <f>(L33)*INPUTS!H18</f>
        <v>0.04</v>
      </c>
      <c r="J33" s="118">
        <f>(M33)*INPUTS!I18</f>
        <v>0</v>
      </c>
      <c r="K33" s="118">
        <f>(N33)*INPUTS!J18</f>
        <v>0</v>
      </c>
      <c r="L33" s="45">
        <f>INDEX('GHG Parameters'!$B$166:$B$168,MATCH(INPUTS!$D$33,'GHG Parameters'!$A$166:$A$168,0))</f>
        <v>0.04</v>
      </c>
      <c r="M33" s="45">
        <f>INDEX('GHG Parameters'!$B$166:$B$168,MATCH(INPUTS!$D$34,'GHG Parameters'!$A$166:$A$168,0))</f>
        <v>1.4999999999999999E-2</v>
      </c>
      <c r="N33" s="45">
        <f>INDEX('GHG Parameters'!$B$166:$B$168,MATCH(INPUTS!$D$35,'GHG Parameters'!$A$166:$A$168,0))</f>
        <v>1.4999999999999999E-2</v>
      </c>
      <c r="O33" s="45">
        <f>(G33*365)*(H33*0.67*(SUM(I33:K33)))</f>
        <v>14.558424895717669</v>
      </c>
      <c r="P33" s="47">
        <f t="shared" ref="P33:P42" si="4">O33</f>
        <v>14.558424895717669</v>
      </c>
    </row>
    <row r="34" spans="1:16">
      <c r="B34" s="986">
        <f>INPUTS!C19</f>
        <v>0</v>
      </c>
      <c r="C34" s="45">
        <f>Feed!P145/365</f>
        <v>0</v>
      </c>
      <c r="D34" s="497">
        <f>Feed!AE23</f>
        <v>0</v>
      </c>
      <c r="E34" s="45">
        <v>0.04</v>
      </c>
      <c r="F34" s="76">
        <v>0.08</v>
      </c>
      <c r="G34" s="73">
        <f>(C34*(1-D34)+(E34*C34))*((1-F34)/18.65)</f>
        <v>0</v>
      </c>
      <c r="H34" s="117">
        <v>0.1</v>
      </c>
      <c r="I34" s="118">
        <f>(L34)*INPUTS!H19</f>
        <v>0</v>
      </c>
      <c r="J34" s="118">
        <f>(M34)*INPUTS!I19</f>
        <v>0</v>
      </c>
      <c r="K34" s="118">
        <f>(N34)*INPUTS!J19</f>
        <v>0</v>
      </c>
      <c r="L34" s="45">
        <f>INDEX('GHG Parameters'!$B$166:$B$168,MATCH(INPUTS!$D$33,'GHG Parameters'!$A$166:$A$168,0))</f>
        <v>0.04</v>
      </c>
      <c r="M34" s="45">
        <f>INDEX('GHG Parameters'!$B$166:$B$168,MATCH(INPUTS!$D$34,'GHG Parameters'!$A$166:$A$168,0))</f>
        <v>1.4999999999999999E-2</v>
      </c>
      <c r="N34" s="45">
        <f>INDEX('GHG Parameters'!$B$166:$B$168,MATCH(INPUTS!$D$35,'GHG Parameters'!$A$166:$A$168,0))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986">
        <f>INPUTS!C20</f>
        <v>0</v>
      </c>
      <c r="C35" s="45">
        <f>Feed!P146/365</f>
        <v>0</v>
      </c>
      <c r="D35" s="497">
        <f>Feed!AE30</f>
        <v>0</v>
      </c>
      <c r="E35" s="45">
        <v>0.04</v>
      </c>
      <c r="F35" s="76">
        <v>0.08</v>
      </c>
      <c r="G35" s="73">
        <f>(C35*(1-D35)+(E35*C35))*((1-F35)/18.65)</f>
        <v>0</v>
      </c>
      <c r="H35" s="117">
        <v>0.1</v>
      </c>
      <c r="I35" s="118">
        <f>(L35)*INPUTS!H20</f>
        <v>0</v>
      </c>
      <c r="J35" s="118">
        <f>(M35)*INPUTS!I20</f>
        <v>0</v>
      </c>
      <c r="K35" s="118">
        <f>(N35)*INPUTS!J20</f>
        <v>0</v>
      </c>
      <c r="L35" s="45">
        <f>INDEX('GHG Parameters'!$B$166:$B$168,MATCH(INPUTS!$D$33,'GHG Parameters'!$A$166:$A$168,0))</f>
        <v>0.04</v>
      </c>
      <c r="M35" s="45">
        <f>INDEX('GHG Parameters'!$B$166:$B$168,MATCH(INPUTS!$D$34,'GHG Parameters'!$A$166:$A$168,0))</f>
        <v>1.4999999999999999E-2</v>
      </c>
      <c r="N35" s="45">
        <f>INDEX('GHG Parameters'!$B$166:$B$168,MATCH(INPUTS!$D$35,'GHG Parameters'!$A$166:$A$168,0))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986">
        <f>INPUTS!C21</f>
        <v>0</v>
      </c>
      <c r="C36" s="45">
        <f>Feed!P147/365</f>
        <v>0</v>
      </c>
      <c r="D36" s="497">
        <f>Feed!AE37</f>
        <v>0</v>
      </c>
      <c r="E36" s="45">
        <v>0.04</v>
      </c>
      <c r="F36" s="76">
        <v>0.08</v>
      </c>
      <c r="G36" s="73">
        <f t="shared" si="3"/>
        <v>0</v>
      </c>
      <c r="H36" s="117">
        <v>0.1</v>
      </c>
      <c r="I36" s="118">
        <f>(L36)*INPUTS!H21</f>
        <v>0</v>
      </c>
      <c r="J36" s="118">
        <f>(M36)*INPUTS!I21</f>
        <v>0</v>
      </c>
      <c r="K36" s="118">
        <f>(N36)*INPUTS!J21</f>
        <v>0</v>
      </c>
      <c r="L36" s="45">
        <f>INDEX('GHG Parameters'!$B$166:$B$168,MATCH(INPUTS!$D$33,'GHG Parameters'!$A$166:$A$168,0))</f>
        <v>0.04</v>
      </c>
      <c r="M36" s="45">
        <f>INDEX('GHG Parameters'!$B$166:$B$168,MATCH(INPUTS!$D$34,'GHG Parameters'!$A$166:$A$168,0))</f>
        <v>1.4999999999999999E-2</v>
      </c>
      <c r="N36" s="45">
        <f>INDEX('GHG Parameters'!$B$166:$B$168,MATCH(INPUTS!$D$35,'GHG Parameters'!$A$166:$A$168,0))</f>
        <v>1.4999999999999999E-2</v>
      </c>
      <c r="O36" s="45">
        <f>(G36*365)*(H36*0.67*(SUM(I36:K36)))</f>
        <v>0</v>
      </c>
      <c r="P36" s="47">
        <f t="shared" si="4"/>
        <v>0</v>
      </c>
    </row>
    <row r="37" spans="1:16">
      <c r="B37" s="986">
        <f>INPUTS!C22</f>
        <v>0</v>
      </c>
      <c r="C37" s="45">
        <f>Feed!P148/365</f>
        <v>0</v>
      </c>
      <c r="D37" s="497">
        <f>Feed!AE44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7">
        <v>0.1</v>
      </c>
      <c r="I37" s="118">
        <f>(L37)*INPUTS!H22</f>
        <v>0</v>
      </c>
      <c r="J37" s="118">
        <f>(M37)*INPUTS!I22</f>
        <v>0</v>
      </c>
      <c r="K37" s="118">
        <f>(N37)*INPUTS!J22</f>
        <v>0</v>
      </c>
      <c r="L37" s="45">
        <f>INDEX('GHG Parameters'!$B$166:$B$168,MATCH(INPUTS!$D$33,'GHG Parameters'!$A$166:$A$168,0))</f>
        <v>0.04</v>
      </c>
      <c r="M37" s="45">
        <f>INDEX('GHG Parameters'!$B$166:$B$168,MATCH(INPUTS!$D$34,'GHG Parameters'!$A$166:$A$168,0))</f>
        <v>1.4999999999999999E-2</v>
      </c>
      <c r="N37" s="45">
        <f>INDEX('GHG Parameters'!$B$166:$B$168,MATCH(INPUTS!$D$35,'GHG Parameters'!$A$166:$A$168,0))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986">
        <f>INPUTS!C23</f>
        <v>0</v>
      </c>
      <c r="C38" s="45">
        <f>Feed!P149/365</f>
        <v>0</v>
      </c>
      <c r="D38" s="497">
        <f>Feed!AE51</f>
        <v>0</v>
      </c>
      <c r="E38" s="45">
        <v>0.04</v>
      </c>
      <c r="F38" s="76">
        <v>0.08</v>
      </c>
      <c r="G38" s="73">
        <f t="shared" si="5"/>
        <v>0</v>
      </c>
      <c r="H38" s="117">
        <v>0.1</v>
      </c>
      <c r="I38" s="118">
        <f>(L38)*INPUTS!H23</f>
        <v>0</v>
      </c>
      <c r="J38" s="118">
        <f>(M38)*INPUTS!I23</f>
        <v>0</v>
      </c>
      <c r="K38" s="118">
        <f>(N38)*INPUTS!J23</f>
        <v>0</v>
      </c>
      <c r="L38" s="45">
        <f>INDEX('GHG Parameters'!$B$166:$B$168,MATCH(INPUTS!$D$33,'GHG Parameters'!$A$166:$A$168,0))</f>
        <v>0.04</v>
      </c>
      <c r="M38" s="45">
        <f>INDEX('GHG Parameters'!$B$166:$B$168,MATCH(INPUTS!$D$34,'GHG Parameters'!$A$166:$A$168,0))</f>
        <v>1.4999999999999999E-2</v>
      </c>
      <c r="N38" s="45">
        <f>INDEX('GHG Parameters'!$B$166:$B$168,MATCH(INPUTS!$D$35,'GHG Parameters'!$A$166:$A$168,0))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986">
        <f>INPUTS!C24</f>
        <v>0</v>
      </c>
      <c r="C39" s="45">
        <f>Feed!P150/365</f>
        <v>0</v>
      </c>
      <c r="D39" s="497">
        <f>Feed!AE58</f>
        <v>0</v>
      </c>
      <c r="E39" s="45">
        <v>0.04</v>
      </c>
      <c r="F39" s="45">
        <v>0.08</v>
      </c>
      <c r="G39" s="47">
        <f t="shared" si="3"/>
        <v>0</v>
      </c>
      <c r="H39" s="828">
        <v>0.13</v>
      </c>
      <c r="I39" s="118">
        <f>(L39)*INPUTS!H24</f>
        <v>0</v>
      </c>
      <c r="J39" s="118">
        <f>(M39)*INPUTS!I24</f>
        <v>0</v>
      </c>
      <c r="K39" s="118">
        <f>(N39)*INPUTS!J24</f>
        <v>0</v>
      </c>
      <c r="L39" s="45">
        <f>INDEX('GHG Parameters'!$B$166:$B$168,MATCH(INPUTS!$D$33,'GHG Parameters'!$A$166:$A$168,0))</f>
        <v>0.04</v>
      </c>
      <c r="M39" s="45">
        <f>INDEX('GHG Parameters'!$B$166:$B$168,MATCH(INPUTS!$D$34,'GHG Parameters'!$A$166:$A$168,0))</f>
        <v>1.4999999999999999E-2</v>
      </c>
      <c r="N39" s="45">
        <f>INDEX('GHG Parameters'!$B$166:$B$168,MATCH(INPUTS!$D$35,'GHG Parameters'!$A$166:$A$168,0))</f>
        <v>1.4999999999999999E-2</v>
      </c>
      <c r="O39" s="45">
        <f t="shared" si="6"/>
        <v>0</v>
      </c>
      <c r="P39" s="47">
        <f t="shared" si="4"/>
        <v>0</v>
      </c>
    </row>
    <row r="40" spans="1:16" s="896" customFormat="1">
      <c r="B40" s="986">
        <f>INPUTS!C25</f>
        <v>0</v>
      </c>
      <c r="C40" s="45">
        <f>Feed!P151/365</f>
        <v>0</v>
      </c>
      <c r="D40" s="497">
        <f>Feed!AE65</f>
        <v>0</v>
      </c>
      <c r="E40" s="45">
        <v>0.04</v>
      </c>
      <c r="F40" s="45">
        <v>0.08</v>
      </c>
      <c r="G40" s="47">
        <f t="shared" si="3"/>
        <v>0</v>
      </c>
      <c r="H40" s="828">
        <v>0.13</v>
      </c>
      <c r="I40" s="118">
        <f>(L40)*INPUTS!H25</f>
        <v>0</v>
      </c>
      <c r="J40" s="118">
        <f>(M40)*INPUTS!I25</f>
        <v>0</v>
      </c>
      <c r="K40" s="118">
        <f>(N40)*INPUTS!J25</f>
        <v>0</v>
      </c>
      <c r="L40" s="45">
        <f>INDEX('GHG Parameters'!$B$166:$B$168,MATCH(INPUTS!$D$33,'GHG Parameters'!$A$166:$A$168,0))</f>
        <v>0.04</v>
      </c>
      <c r="M40" s="45">
        <f>INDEX('GHG Parameters'!$B$166:$B$168,MATCH(INPUTS!$D$34,'GHG Parameters'!$A$166:$A$168,0))</f>
        <v>1.4999999999999999E-2</v>
      </c>
      <c r="N40" s="45">
        <f>INDEX('GHG Parameters'!$B$166:$B$168,MATCH(INPUTS!$D$35,'GHG Parameters'!$A$166:$A$168,0))</f>
        <v>1.4999999999999999E-2</v>
      </c>
      <c r="O40" s="45">
        <f t="shared" si="6"/>
        <v>0</v>
      </c>
      <c r="P40" s="47">
        <f t="shared" si="4"/>
        <v>0</v>
      </c>
    </row>
    <row r="41" spans="1:16" s="962" customFormat="1">
      <c r="B41" s="986">
        <f>INPUTS!C26</f>
        <v>0</v>
      </c>
      <c r="C41" s="45">
        <f>Feed!P152/365</f>
        <v>0</v>
      </c>
      <c r="D41" s="497">
        <f>Feed!AE72</f>
        <v>0</v>
      </c>
      <c r="E41" s="45">
        <v>0.04</v>
      </c>
      <c r="F41" s="45">
        <v>0.08</v>
      </c>
      <c r="G41" s="47">
        <f t="shared" si="3"/>
        <v>0</v>
      </c>
      <c r="H41" s="828">
        <v>0.13</v>
      </c>
      <c r="I41" s="118">
        <f>(L41)*INPUTS!H26</f>
        <v>0</v>
      </c>
      <c r="J41" s="118">
        <f>(M41)*INPUTS!I26</f>
        <v>0</v>
      </c>
      <c r="K41" s="118">
        <f>(N41)*INPUTS!J26</f>
        <v>0</v>
      </c>
      <c r="L41" s="45">
        <f>INDEX('GHG Parameters'!$B$166:$B$168,MATCH(INPUTS!$D$33,'GHG Parameters'!$A$166:$A$168,0))</f>
        <v>0.04</v>
      </c>
      <c r="M41" s="45">
        <f>INDEX('GHG Parameters'!$B$166:$B$168,MATCH(INPUTS!$D$34,'GHG Parameters'!$A$166:$A$168,0))</f>
        <v>1.4999999999999999E-2</v>
      </c>
      <c r="N41" s="45">
        <f>INDEX('GHG Parameters'!$B$166:$B$168,MATCH(INPUTS!$D$35,'GHG Parameters'!$A$166:$A$168,0))</f>
        <v>1.4999999999999999E-2</v>
      </c>
      <c r="O41" s="45">
        <f t="shared" si="6"/>
        <v>0</v>
      </c>
      <c r="P41" s="47">
        <f t="shared" si="4"/>
        <v>0</v>
      </c>
    </row>
    <row r="42" spans="1:16" s="962" customFormat="1">
      <c r="B42" s="986">
        <f>INPUTS!C27</f>
        <v>0</v>
      </c>
      <c r="C42" s="45">
        <f>Feed!P153/365</f>
        <v>0</v>
      </c>
      <c r="D42" s="497">
        <f>Feed!AE79</f>
        <v>0</v>
      </c>
      <c r="E42" s="45">
        <v>0.04</v>
      </c>
      <c r="F42" s="45">
        <v>0.08</v>
      </c>
      <c r="G42" s="47">
        <f t="shared" si="3"/>
        <v>0</v>
      </c>
      <c r="H42" s="828">
        <v>0.13</v>
      </c>
      <c r="I42" s="118">
        <f>(L42)*INPUTS!H27</f>
        <v>0</v>
      </c>
      <c r="J42" s="118">
        <f>(M42)*INPUTS!I27</f>
        <v>0</v>
      </c>
      <c r="K42" s="118">
        <f>(N42)*INPUTS!J27</f>
        <v>0</v>
      </c>
      <c r="L42" s="45">
        <f>INDEX('GHG Parameters'!$B$166:$B$168,MATCH(INPUTS!$D$33,'GHG Parameters'!$A$166:$A$168,0))</f>
        <v>0.04</v>
      </c>
      <c r="M42" s="45">
        <f>INDEX('GHG Parameters'!$B$166:$B$168,MATCH(INPUTS!$D$34,'GHG Parameters'!$A$166:$A$168,0))</f>
        <v>1.4999999999999999E-2</v>
      </c>
      <c r="N42" s="45">
        <f>INDEX('GHG Parameters'!$B$166:$B$168,MATCH(INPUTS!$D$35,'GHG Parameters'!$A$166:$A$168,0))</f>
        <v>1.4999999999999999E-2</v>
      </c>
      <c r="O42" s="45">
        <f t="shared" si="6"/>
        <v>0</v>
      </c>
      <c r="P42" s="47">
        <f t="shared" si="4"/>
        <v>0</v>
      </c>
    </row>
    <row r="43" spans="1:16" s="904" customFormat="1">
      <c r="B43" s="986">
        <f>INPUTS!C28</f>
        <v>0</v>
      </c>
      <c r="C43" s="45">
        <f>Feed!P154/365</f>
        <v>0</v>
      </c>
      <c r="D43" s="497">
        <f>Feed!AE86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828">
        <v>0.28999999999999998</v>
      </c>
      <c r="I43" s="118">
        <f>(L43)*INPUTS!H28</f>
        <v>0</v>
      </c>
      <c r="J43" s="118">
        <f>(M43)*INPUTS!I28</f>
        <v>0</v>
      </c>
      <c r="K43" s="118">
        <f>(N43)*INPUTS!J28</f>
        <v>0</v>
      </c>
      <c r="L43" s="45">
        <f>INDEX('GHG Parameters'!$B$166:$B$168,MATCH(INPUTS!$D$33,'GHG Parameters'!$A$166:$A$168,0))</f>
        <v>0.04</v>
      </c>
      <c r="M43" s="45">
        <f>INDEX('GHG Parameters'!$B$166:$B$168,MATCH(INPUTS!$D$34,'GHG Parameters'!$A$166:$A$168,0))</f>
        <v>1.4999999999999999E-2</v>
      </c>
      <c r="N43" s="45">
        <f>INDEX('GHG Parameters'!$B$166:$B$168,MATCH(INPUTS!$D$35,'GHG Parameters'!$A$166:$A$168,0))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904" customFormat="1">
      <c r="B44" s="986">
        <f>INPUTS!C29</f>
        <v>0</v>
      </c>
      <c r="C44" s="45">
        <f>Feed!P155/365</f>
        <v>0</v>
      </c>
      <c r="D44" s="497">
        <f>Feed!AE93</f>
        <v>0</v>
      </c>
      <c r="E44" s="45">
        <v>0.04</v>
      </c>
      <c r="F44" s="45">
        <v>0.08</v>
      </c>
      <c r="G44" s="47">
        <f t="shared" si="7"/>
        <v>0</v>
      </c>
      <c r="H44" s="828">
        <v>0.28999999999999998</v>
      </c>
      <c r="I44" s="118">
        <f>(L44)*INPUTS!H29</f>
        <v>0</v>
      </c>
      <c r="J44" s="118">
        <f>(M44)*INPUTS!I29</f>
        <v>0</v>
      </c>
      <c r="K44" s="118">
        <f>(N44)*INPUTS!J29</f>
        <v>0</v>
      </c>
      <c r="L44" s="45">
        <f>INDEX('GHG Parameters'!$B$166:$B$168,MATCH(INPUTS!$D$33,'GHG Parameters'!$A$166:$A$168,0))</f>
        <v>0.04</v>
      </c>
      <c r="M44" s="45">
        <f>INDEX('GHG Parameters'!$B$166:$B$168,MATCH(INPUTS!$D$34,'GHG Parameters'!$A$166:$A$168,0))</f>
        <v>1.4999999999999999E-2</v>
      </c>
      <c r="N44" s="45">
        <f>INDEX('GHG Parameters'!$B$166:$B$168,MATCH(INPUTS!$D$35,'GHG Parameters'!$A$166:$A$168,0))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986">
        <f>INPUTS!C30</f>
        <v>0</v>
      </c>
      <c r="C45" s="45">
        <f>Feed!P156/365</f>
        <v>0</v>
      </c>
      <c r="D45" s="497">
        <f>Feed!AE100</f>
        <v>0</v>
      </c>
      <c r="E45" s="45">
        <v>0.04</v>
      </c>
      <c r="F45" s="45">
        <v>0.08</v>
      </c>
      <c r="G45" s="47">
        <f t="shared" si="7"/>
        <v>0</v>
      </c>
      <c r="H45" s="828">
        <v>0.28999999999999998</v>
      </c>
      <c r="I45" s="118">
        <f>(L45)*INPUTS!H30</f>
        <v>0</v>
      </c>
      <c r="J45" s="118">
        <f>(M45)*INPUTS!I30</f>
        <v>0</v>
      </c>
      <c r="K45" s="118">
        <f>(N45)*INPUTS!J30</f>
        <v>0</v>
      </c>
      <c r="L45" s="45">
        <f>INDEX('GHG Parameters'!$B$166:$B$168,MATCH(INPUTS!$D$33,'GHG Parameters'!$A$166:$A$168,0))</f>
        <v>0.04</v>
      </c>
      <c r="M45" s="45">
        <f>INDEX('GHG Parameters'!$B$166:$B$168,MATCH(INPUTS!$D$34,'GHG Parameters'!$A$166:$A$168,0))</f>
        <v>1.4999999999999999E-2</v>
      </c>
      <c r="N45" s="45">
        <f>INDEX('GHG Parameters'!$B$166:$B$168,MATCH(INPUTS!$D$35,'GHG Parameters'!$A$166:$A$168,0))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80" t="s">
        <v>2</v>
      </c>
      <c r="C46" s="1680"/>
      <c r="D46" s="1680"/>
      <c r="E46" s="1680"/>
      <c r="F46" s="1680"/>
      <c r="G46" s="1680"/>
      <c r="H46" s="1680"/>
      <c r="I46" s="1680"/>
      <c r="J46" s="1680"/>
      <c r="K46" s="1680"/>
      <c r="L46" s="1680"/>
      <c r="M46" s="1680"/>
      <c r="N46" s="1680"/>
      <c r="O46" s="1680"/>
      <c r="P46" s="47">
        <f>SUM(P32:P45)</f>
        <v>27.328899685550041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996" t="s">
        <v>1823</v>
      </c>
      <c r="E53" s="23" t="s">
        <v>293</v>
      </c>
    </row>
    <row r="54" spans="1:19" ht="31.5">
      <c r="A54" s="1"/>
      <c r="B54" s="1682" t="s">
        <v>258</v>
      </c>
      <c r="C54" s="24" t="s">
        <v>284</v>
      </c>
      <c r="D54" s="24" t="s">
        <v>285</v>
      </c>
      <c r="E54" s="31" t="s">
        <v>286</v>
      </c>
      <c r="F54" s="31" t="s">
        <v>286</v>
      </c>
    </row>
    <row r="55" spans="1:19" ht="31.5">
      <c r="A55" s="1"/>
      <c r="B55" s="1682"/>
      <c r="C55" s="24" t="s">
        <v>655</v>
      </c>
      <c r="D55" s="24" t="s">
        <v>656</v>
      </c>
      <c r="E55" s="31" t="s">
        <v>290</v>
      </c>
      <c r="F55" s="31" t="s">
        <v>214</v>
      </c>
    </row>
    <row r="56" spans="1:19">
      <c r="B56" s="1682"/>
      <c r="C56" s="24"/>
      <c r="D56" s="24" t="s">
        <v>292</v>
      </c>
      <c r="E56" s="31" t="s">
        <v>294</v>
      </c>
      <c r="F56" s="44"/>
    </row>
    <row r="57" spans="1:19">
      <c r="B57" s="26" t="s">
        <v>143</v>
      </c>
      <c r="C57" s="24" t="s">
        <v>289</v>
      </c>
      <c r="D57" s="24" t="s">
        <v>288</v>
      </c>
      <c r="E57" s="47" t="s">
        <v>287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2" t="str">
        <f>INPUTS!C17</f>
        <v>Cows (improved)</v>
      </c>
      <c r="C58" s="45">
        <f>'Livestock parameters'!B2</f>
        <v>381</v>
      </c>
      <c r="D58" s="81">
        <f>VLOOKUP( INPUTS!$E$3&amp;"|" &amp;$B58,'GHG Parameters'!$D$175:$E$219,2,0)</f>
        <v>0.6</v>
      </c>
      <c r="E58" s="47">
        <f>D58*(C58/1000)*365</f>
        <v>83.438999999999993</v>
      </c>
      <c r="F58" s="44">
        <f>E58*INPUTS!D17</f>
        <v>166.87799999999999</v>
      </c>
    </row>
    <row r="59" spans="1:19">
      <c r="B59" s="986" t="str">
        <f>INPUTS!C18</f>
        <v>Steers/heifers</v>
      </c>
      <c r="C59" s="45">
        <f>'Livestock parameters'!B3</f>
        <v>290</v>
      </c>
      <c r="D59" s="81">
        <f>VLOOKUP( INPUTS!$E$3&amp;"|" &amp;$B59,'GHG Parameters'!$D$175:$E$219,2,0)</f>
        <v>0.63</v>
      </c>
      <c r="E59" s="47">
        <f t="shared" ref="E59:E71" si="10">D59*(C59/1000)*365</f>
        <v>66.685500000000005</v>
      </c>
      <c r="F59" s="44">
        <f>E59*INPUTS!D18</f>
        <v>200.05650000000003</v>
      </c>
      <c r="G59" s="1674"/>
    </row>
    <row r="60" spans="1:19">
      <c r="B60" s="986">
        <f>INPUTS!C19</f>
        <v>0</v>
      </c>
      <c r="C60" s="45">
        <f>'Livestock parameters'!B4</f>
        <v>0</v>
      </c>
      <c r="D60" s="81" t="e">
        <f>VLOOKUP( INPUTS!$E$3&amp;"|" &amp;$B60,'GHG Parameters'!$D$175:$E$219,2,0)</f>
        <v>#N/A</v>
      </c>
      <c r="E60" s="47" t="e">
        <f t="shared" si="10"/>
        <v>#N/A</v>
      </c>
      <c r="F60" s="44" t="e">
        <f>E60*INPUTS!D19</f>
        <v>#N/A</v>
      </c>
      <c r="G60" s="1674"/>
    </row>
    <row r="61" spans="1:19">
      <c r="B61" s="986">
        <f>INPUTS!C20</f>
        <v>0</v>
      </c>
      <c r="C61" s="45">
        <f>'Livestock parameters'!B5</f>
        <v>0</v>
      </c>
      <c r="D61" s="81" t="e">
        <f>VLOOKUP( INPUTS!$E$3&amp;"|" &amp;$B61,'GHG Parameters'!$D$175:$E$219,2,0)</f>
        <v>#N/A</v>
      </c>
      <c r="E61" s="47" t="e">
        <f t="shared" si="10"/>
        <v>#N/A</v>
      </c>
      <c r="F61" s="44" t="e">
        <f>E61*INPUTS!D20</f>
        <v>#N/A</v>
      </c>
      <c r="G61" s="1674"/>
    </row>
    <row r="62" spans="1:19">
      <c r="B62" s="986">
        <f>INPUTS!C21</f>
        <v>0</v>
      </c>
      <c r="C62" s="45">
        <f>'Livestock parameters'!B6</f>
        <v>0</v>
      </c>
      <c r="D62" s="81" t="e">
        <f>VLOOKUP( INPUTS!$E$3&amp;"|" &amp;$B62,'GHG Parameters'!$D$175:$E$219,2,0)</f>
        <v>#N/A</v>
      </c>
      <c r="E62" s="47" t="e">
        <f t="shared" si="10"/>
        <v>#N/A</v>
      </c>
      <c r="F62" s="44" t="e">
        <f>E62*INPUTS!D21</f>
        <v>#N/A</v>
      </c>
      <c r="G62" s="1674"/>
    </row>
    <row r="63" spans="1:19">
      <c r="B63" s="986">
        <f>INPUTS!C22</f>
        <v>0</v>
      </c>
      <c r="C63" s="45">
        <f>'Livestock parameters'!B7</f>
        <v>0</v>
      </c>
      <c r="D63" s="81" t="e">
        <f>VLOOKUP( INPUTS!$E$3&amp;"|" &amp;$B63,'GHG Parameters'!$D$175:$E$219,2,0)</f>
        <v>#N/A</v>
      </c>
      <c r="E63" s="47" t="e">
        <f t="shared" si="10"/>
        <v>#N/A</v>
      </c>
      <c r="F63" s="44" t="e">
        <f>E63*INPUTS!D22</f>
        <v>#N/A</v>
      </c>
    </row>
    <row r="64" spans="1:19">
      <c r="B64" s="986">
        <f>INPUTS!C23</f>
        <v>0</v>
      </c>
      <c r="C64" s="45">
        <f>'Livestock parameters'!B8</f>
        <v>0</v>
      </c>
      <c r="D64" s="81" t="e">
        <f>VLOOKUP( INPUTS!$E$3&amp;"|" &amp;$B64,'GHG Parameters'!$D$175:$E$219,2,0)</f>
        <v>#N/A</v>
      </c>
      <c r="E64" s="47" t="e">
        <f t="shared" si="10"/>
        <v>#N/A</v>
      </c>
      <c r="F64" s="44" t="e">
        <f>E64*INPUTS!D23</f>
        <v>#N/A</v>
      </c>
    </row>
    <row r="65" spans="1:12">
      <c r="B65" s="986">
        <f>INPUTS!C24</f>
        <v>0</v>
      </c>
      <c r="C65" s="45">
        <f>'Livestock parameters'!B9</f>
        <v>0</v>
      </c>
      <c r="D65" s="81" t="e">
        <f>VLOOKUP( INPUTS!$E$3&amp;"|" &amp;$B65,'GHG Parameters'!$D$175:$E$219,2,0)</f>
        <v>#N/A</v>
      </c>
      <c r="E65" s="47" t="e">
        <f t="shared" si="10"/>
        <v>#N/A</v>
      </c>
      <c r="F65" s="44" t="e">
        <f>E65*INPUTS!D24</f>
        <v>#N/A</v>
      </c>
    </row>
    <row r="66" spans="1:12" s="896" customFormat="1">
      <c r="B66" s="986">
        <f>INPUTS!C25</f>
        <v>0</v>
      </c>
      <c r="C66" s="45">
        <f>'Livestock parameters'!B10</f>
        <v>0</v>
      </c>
      <c r="D66" s="81" t="e">
        <f>VLOOKUP( INPUTS!$E$3&amp;"|" &amp;$B66,'GHG Parameters'!$D$175:$E$219,2,0)</f>
        <v>#N/A</v>
      </c>
      <c r="E66" s="47" t="e">
        <f t="shared" si="10"/>
        <v>#N/A</v>
      </c>
      <c r="F66" s="44" t="e">
        <f>E66*INPUTS!D25</f>
        <v>#N/A</v>
      </c>
    </row>
    <row r="67" spans="1:12" s="962" customFormat="1">
      <c r="B67" s="986">
        <f>INPUTS!C26</f>
        <v>0</v>
      </c>
      <c r="C67" s="45">
        <f>'Livestock parameters'!B11</f>
        <v>0</v>
      </c>
      <c r="D67" s="81" t="e">
        <f>VLOOKUP( INPUTS!$E$3&amp;"|" &amp;$B67,'GHG Parameters'!$D$175:$E$219,2,0)</f>
        <v>#N/A</v>
      </c>
      <c r="E67" s="47" t="e">
        <f t="shared" ref="E67:E68" si="11">D67*(C67/1000)*365</f>
        <v>#N/A</v>
      </c>
      <c r="F67" s="44" t="e">
        <f>E67*INPUTS!D26</f>
        <v>#N/A</v>
      </c>
    </row>
    <row r="68" spans="1:12" s="962" customFormat="1">
      <c r="B68" s="986">
        <f>INPUTS!C27</f>
        <v>0</v>
      </c>
      <c r="C68" s="45">
        <f>'Livestock parameters'!B12</f>
        <v>0</v>
      </c>
      <c r="D68" s="81" t="e">
        <f>VLOOKUP( INPUTS!$E$3&amp;"|" &amp;$B68,'GHG Parameters'!$D$175:$E$219,2,0)</f>
        <v>#N/A</v>
      </c>
      <c r="E68" s="47" t="e">
        <f t="shared" si="11"/>
        <v>#N/A</v>
      </c>
      <c r="F68" s="44" t="e">
        <f>E68*INPUTS!D27</f>
        <v>#N/A</v>
      </c>
    </row>
    <row r="69" spans="1:12" s="904" customFormat="1">
      <c r="B69" s="986">
        <f>INPUTS!C28</f>
        <v>0</v>
      </c>
      <c r="C69" s="45">
        <f>'Livestock parameters'!B13</f>
        <v>0</v>
      </c>
      <c r="D69" s="81" t="e">
        <f>VLOOKUP( INPUTS!$E$3&amp;"|" &amp;$B69,'GHG Parameters'!$D$175:$E$219,2,0)</f>
        <v>#N/A</v>
      </c>
      <c r="E69" s="47" t="e">
        <f t="shared" si="10"/>
        <v>#N/A</v>
      </c>
      <c r="F69" s="44" t="e">
        <f>E69*INPUTS!D28</f>
        <v>#N/A</v>
      </c>
    </row>
    <row r="70" spans="1:12" s="904" customFormat="1">
      <c r="B70" s="986">
        <f>INPUTS!C29</f>
        <v>0</v>
      </c>
      <c r="C70" s="45">
        <f>'Livestock parameters'!B14</f>
        <v>0</v>
      </c>
      <c r="D70" s="81" t="e">
        <f>VLOOKUP( INPUTS!$E$3&amp;"|" &amp;$B70,'GHG Parameters'!$D$175:$E$219,2,0)</f>
        <v>#N/A</v>
      </c>
      <c r="E70" s="47" t="e">
        <f t="shared" si="10"/>
        <v>#N/A</v>
      </c>
      <c r="F70" s="44" t="e">
        <f>E70*INPUTS!D29</f>
        <v>#N/A</v>
      </c>
    </row>
    <row r="71" spans="1:12">
      <c r="B71" s="986">
        <f>INPUTS!C30</f>
        <v>0</v>
      </c>
      <c r="C71" s="45">
        <f>'Livestock parameters'!B15</f>
        <v>0</v>
      </c>
      <c r="D71" s="81" t="e">
        <f>VLOOKUP( INPUTS!$E$3&amp;"|" &amp;$B71,'GHG Parameters'!$D$175:$E$219,2,0)</f>
        <v>#N/A</v>
      </c>
      <c r="E71" s="47" t="e">
        <f t="shared" si="10"/>
        <v>#N/A</v>
      </c>
      <c r="F71" s="44" t="e">
        <f>E71*INPUTS!D30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366</v>
      </c>
      <c r="F75" s="859" t="s">
        <v>1653</v>
      </c>
      <c r="G75" s="21" t="s">
        <v>364</v>
      </c>
    </row>
    <row r="76" spans="1:12" s="10" customFormat="1" ht="47.25">
      <c r="B76" s="36" t="s">
        <v>258</v>
      </c>
      <c r="C76" s="24" t="s">
        <v>1326</v>
      </c>
      <c r="D76" s="24" t="s">
        <v>361</v>
      </c>
      <c r="E76" s="24" t="s">
        <v>1328</v>
      </c>
      <c r="F76" s="24" t="s">
        <v>427</v>
      </c>
      <c r="G76" s="31" t="s">
        <v>365</v>
      </c>
    </row>
    <row r="77" spans="1:12" ht="31.5">
      <c r="B77" s="36"/>
      <c r="C77" s="24" t="s">
        <v>1318</v>
      </c>
      <c r="D77" s="24" t="s">
        <v>360</v>
      </c>
      <c r="E77" s="24" t="s">
        <v>1327</v>
      </c>
      <c r="F77" s="24" t="s">
        <v>426</v>
      </c>
      <c r="G77" s="31" t="s">
        <v>1319</v>
      </c>
    </row>
    <row r="78" spans="1:12" ht="28.5" customHeight="1">
      <c r="B78" s="36"/>
      <c r="C78" s="24"/>
      <c r="D78" s="24"/>
      <c r="E78" s="24" t="s">
        <v>359</v>
      </c>
      <c r="F78" s="24" t="s">
        <v>1652</v>
      </c>
      <c r="G78" s="28" t="s">
        <v>428</v>
      </c>
    </row>
    <row r="79" spans="1:12">
      <c r="B79" s="26" t="s">
        <v>143</v>
      </c>
      <c r="C79" s="24" t="s">
        <v>89</v>
      </c>
      <c r="D79" s="24" t="s">
        <v>358</v>
      </c>
      <c r="E79" s="24" t="s">
        <v>363</v>
      </c>
      <c r="F79" s="24" t="s">
        <v>1321</v>
      </c>
      <c r="G79" s="31" t="s">
        <v>362</v>
      </c>
    </row>
    <row r="80" spans="1:12">
      <c r="B80" s="154" t="str">
        <f>INPUTS!C17</f>
        <v>Cows (improved)</v>
      </c>
      <c r="C80" s="68">
        <f>'GHG Ent fermentation'!C31</f>
        <v>378.34027684479474</v>
      </c>
      <c r="D80" s="68" t="e">
        <f>Feed!AF8</f>
        <v>#DIV/0!</v>
      </c>
      <c r="E80" s="858" t="str">
        <f>IFERROR((C80/18.45)*((D80/100)/6.25),"")</f>
        <v/>
      </c>
      <c r="F80" s="858" t="str">
        <f>IFERROR(((((INPUTS!E17*0.034/6.38)+(INPUTS!F17*(268-(7*16))/6250))*INPUTS!D17/365)/E80),"")</f>
        <v/>
      </c>
      <c r="G80" s="69" t="str">
        <f>IFERROR(E80*(1-(F80))*365,"")</f>
        <v/>
      </c>
      <c r="I80" s="851"/>
      <c r="J80" s="851"/>
      <c r="K80" s="851"/>
      <c r="L80" s="851"/>
    </row>
    <row r="81" spans="1:19">
      <c r="B81" s="154" t="str">
        <f>INPUTS!C18</f>
        <v>Steers/heifers</v>
      </c>
      <c r="C81" s="68">
        <f>'GHG Ent fermentation'!C32</f>
        <v>431.3103933970707</v>
      </c>
      <c r="D81" s="68" t="e">
        <f>Feed!AF15</f>
        <v>#DIV/0!</v>
      </c>
      <c r="E81" s="858" t="str">
        <f t="shared" ref="E81:E93" si="12">IFERROR((C81/18.45)*((D81/100)/6.25),"")</f>
        <v/>
      </c>
      <c r="F81" s="858" t="str">
        <f>IFERROR(((((INPUTS!E18*0.034/6.38)+(INPUTS!F18*(268-(7*16))/6250))*INPUTS!D18/365)/E81),"")</f>
        <v/>
      </c>
      <c r="G81" s="69" t="str">
        <f t="shared" ref="G81:G93" si="13">IFERROR(E81*(1-(F81))*365,"")</f>
        <v/>
      </c>
      <c r="I81" s="851"/>
      <c r="J81" s="851"/>
      <c r="K81" s="851"/>
      <c r="L81" s="851"/>
    </row>
    <row r="82" spans="1:19">
      <c r="B82" s="154">
        <f>INPUTS!C19</f>
        <v>0</v>
      </c>
      <c r="C82" s="68">
        <f>'GHG Ent fermentation'!C33</f>
        <v>0</v>
      </c>
      <c r="D82" s="68" t="e">
        <f>Feed!AF22</f>
        <v>#DIV/0!</v>
      </c>
      <c r="E82" s="858" t="str">
        <f t="shared" si="12"/>
        <v/>
      </c>
      <c r="F82" s="858" t="str">
        <f>IFERROR(((((INPUTS!E19*0.034/6.38)+(INPUTS!F19*(268-(7*16))/6250))*INPUTS!D19/365)/E82),"")</f>
        <v/>
      </c>
      <c r="G82" s="69" t="str">
        <f t="shared" si="13"/>
        <v/>
      </c>
      <c r="I82" s="851"/>
      <c r="J82" s="851"/>
      <c r="K82" s="851"/>
      <c r="L82" s="851"/>
    </row>
    <row r="83" spans="1:19">
      <c r="B83" s="154">
        <f>INPUTS!C20</f>
        <v>0</v>
      </c>
      <c r="C83" s="68">
        <f>'GHG Ent fermentation'!C34</f>
        <v>0</v>
      </c>
      <c r="D83" s="68" t="e">
        <f>Feed!AF29</f>
        <v>#DIV/0!</v>
      </c>
      <c r="E83" s="858" t="str">
        <f t="shared" si="12"/>
        <v/>
      </c>
      <c r="F83" s="858" t="str">
        <f>IFERROR(((((INPUTS!E20*0.034/6.38)+(INPUTS!F20*(268-(7*16))/6250))*INPUTS!D20/365)/E83),"")</f>
        <v/>
      </c>
      <c r="G83" s="69" t="str">
        <f t="shared" si="13"/>
        <v/>
      </c>
      <c r="I83" s="851"/>
      <c r="J83" s="851"/>
      <c r="K83" s="851"/>
      <c r="L83" s="851"/>
    </row>
    <row r="84" spans="1:19">
      <c r="B84" s="154">
        <f>INPUTS!C21</f>
        <v>0</v>
      </c>
      <c r="C84" s="68">
        <f>'GHG Ent fermentation'!C35</f>
        <v>0</v>
      </c>
      <c r="D84" s="68" t="e">
        <f>Feed!AF36</f>
        <v>#DIV/0!</v>
      </c>
      <c r="E84" s="858" t="str">
        <f t="shared" si="12"/>
        <v/>
      </c>
      <c r="F84" s="858" t="str">
        <f>IFERROR(((((INPUTS!E21*0.034/6.38)+(INPUTS!F21*(268-(7*16))/6250))*INPUTS!D21/365)/E84),"")</f>
        <v/>
      </c>
      <c r="G84" s="69" t="str">
        <f t="shared" si="13"/>
        <v/>
      </c>
      <c r="I84" s="851"/>
      <c r="J84" s="851"/>
      <c r="K84" s="851"/>
      <c r="L84" s="851"/>
    </row>
    <row r="85" spans="1:19">
      <c r="B85" s="154">
        <f>INPUTS!C22</f>
        <v>0</v>
      </c>
      <c r="C85" s="68">
        <f>'GHG Ent fermentation'!C36</f>
        <v>0</v>
      </c>
      <c r="D85" s="68" t="e">
        <f>Feed!AF43</f>
        <v>#DIV/0!</v>
      </c>
      <c r="E85" s="858" t="str">
        <f t="shared" si="12"/>
        <v/>
      </c>
      <c r="F85" s="858" t="str">
        <f>IFERROR(((((INPUTS!E22*0.034/6.38)+(INPUTS!F22*(268-(7*16))/6250))*INPUTS!D22/365)/E85),"")</f>
        <v/>
      </c>
      <c r="G85" s="69" t="str">
        <f t="shared" si="13"/>
        <v/>
      </c>
      <c r="I85" s="851"/>
      <c r="J85" s="851"/>
      <c r="K85" s="851"/>
      <c r="L85" s="851"/>
    </row>
    <row r="86" spans="1:19">
      <c r="B86" s="154">
        <f>INPUTS!C23</f>
        <v>0</v>
      </c>
      <c r="C86" s="68">
        <f>'GHG Ent fermentation'!C37</f>
        <v>0</v>
      </c>
      <c r="D86" s="68" t="e">
        <f>Feed!AF50</f>
        <v>#DIV/0!</v>
      </c>
      <c r="E86" s="858" t="str">
        <f t="shared" si="12"/>
        <v/>
      </c>
      <c r="F86" s="858" t="str">
        <f>IFERROR(((((INPUTS!E23*0.034/6.38)+(INPUTS!F23*(268-(7*16))/6250))*INPUTS!D23/365)/E86),"")</f>
        <v/>
      </c>
      <c r="G86" s="69" t="str">
        <f t="shared" si="13"/>
        <v/>
      </c>
      <c r="I86" s="851"/>
      <c r="J86" s="851"/>
      <c r="K86" s="851"/>
      <c r="L86" s="851"/>
    </row>
    <row r="87" spans="1:19">
      <c r="B87" s="154">
        <f>INPUTS!C24</f>
        <v>0</v>
      </c>
      <c r="C87" s="68">
        <f>'GHG Ent fermentation'!C38</f>
        <v>0</v>
      </c>
      <c r="D87" s="68" t="e">
        <f>Feed!AF57</f>
        <v>#DIV/0!</v>
      </c>
      <c r="E87" s="858" t="str">
        <f t="shared" si="12"/>
        <v/>
      </c>
      <c r="F87" s="858" t="str">
        <f>IFERROR(((((INPUTS!E24*0.034/6.38)+(INPUTS!F24*(268-(7*16))/6250))*INPUTS!D24/365)/E87),"")</f>
        <v/>
      </c>
      <c r="G87" s="69" t="str">
        <f t="shared" si="13"/>
        <v/>
      </c>
      <c r="H87" s="63"/>
      <c r="I87" s="851"/>
      <c r="J87" s="851"/>
      <c r="K87" s="851"/>
      <c r="L87" s="851"/>
    </row>
    <row r="88" spans="1:19" s="896" customFormat="1">
      <c r="B88" s="154">
        <f>INPUTS!C25</f>
        <v>0</v>
      </c>
      <c r="C88" s="68">
        <f>'GHG Ent fermentation'!C39</f>
        <v>0</v>
      </c>
      <c r="D88" s="68" t="e">
        <f>Feed!AF64</f>
        <v>#DIV/0!</v>
      </c>
      <c r="E88" s="858" t="str">
        <f t="shared" si="12"/>
        <v/>
      </c>
      <c r="F88" s="858" t="str">
        <f>IFERROR(((((INPUTS!E25*0.034/6.38)+(INPUTS!F25*(268-(7*16))/6250))*INPUTS!D25/365)/E88),"")</f>
        <v/>
      </c>
      <c r="G88" s="69" t="str">
        <f t="shared" si="13"/>
        <v/>
      </c>
      <c r="H88" s="63"/>
      <c r="I88" s="851"/>
      <c r="J88" s="851"/>
      <c r="K88" s="851"/>
      <c r="L88" s="851"/>
    </row>
    <row r="89" spans="1:19" s="962" customFormat="1">
      <c r="B89" s="154">
        <f>INPUTS!C26</f>
        <v>0</v>
      </c>
      <c r="C89" s="68">
        <f>'GHG Ent fermentation'!C40</f>
        <v>0</v>
      </c>
      <c r="D89" s="68" t="e">
        <f>Feed!AF71</f>
        <v>#DIV/0!</v>
      </c>
      <c r="E89" s="858" t="str">
        <f t="shared" ref="E89:E90" si="14">IFERROR((C89/18.45)*((D89/100)/6.25),"")</f>
        <v/>
      </c>
      <c r="F89" s="858" t="str">
        <f>IFERROR(((((INPUTS!E26*0.034/6.38)+(INPUTS!F26*(268-(7*16))/6250))*INPUTS!D26/365)/E89),"")</f>
        <v/>
      </c>
      <c r="G89" s="69" t="str">
        <f t="shared" ref="G89:G90" si="15">IFERROR(E89*(1-(F89))*365,"")</f>
        <v/>
      </c>
      <c r="H89" s="961"/>
      <c r="I89" s="851"/>
      <c r="J89" s="851"/>
      <c r="K89" s="851"/>
      <c r="L89" s="851"/>
    </row>
    <row r="90" spans="1:19" s="962" customFormat="1">
      <c r="B90" s="154">
        <f>INPUTS!C27</f>
        <v>0</v>
      </c>
      <c r="C90" s="68">
        <f>'GHG Ent fermentation'!C41</f>
        <v>0</v>
      </c>
      <c r="D90" s="68" t="e">
        <f>Feed!AF78</f>
        <v>#DIV/0!</v>
      </c>
      <c r="E90" s="858" t="str">
        <f t="shared" si="14"/>
        <v/>
      </c>
      <c r="F90" s="858" t="str">
        <f>IFERROR(((((INPUTS!E27*0.034/6.38)+(INPUTS!F27*(268-(7*16))/6250))*INPUTS!D27/365)/E90),"")</f>
        <v/>
      </c>
      <c r="G90" s="69" t="str">
        <f t="shared" si="15"/>
        <v/>
      </c>
      <c r="H90" s="961"/>
      <c r="I90" s="851"/>
      <c r="J90" s="851"/>
      <c r="K90" s="851"/>
      <c r="L90" s="851"/>
    </row>
    <row r="91" spans="1:19" s="904" customFormat="1">
      <c r="B91" s="154">
        <f>INPUTS!C28</f>
        <v>0</v>
      </c>
      <c r="C91" s="68">
        <f>'GHG Ent fermentation'!C42</f>
        <v>0</v>
      </c>
      <c r="D91" s="68" t="e">
        <f>Feed!AF85</f>
        <v>#DIV/0!</v>
      </c>
      <c r="E91" s="858" t="str">
        <f t="shared" si="12"/>
        <v/>
      </c>
      <c r="F91" s="858" t="str">
        <f>IFERROR(((((INPUTS!E28*0.034/6.38)+(INPUTS!F28*(268-(7*16))/6250))*INPUTS!D28/365)/E91),"")</f>
        <v/>
      </c>
      <c r="G91" s="69" t="str">
        <f t="shared" si="13"/>
        <v/>
      </c>
      <c r="H91" s="63"/>
      <c r="I91" s="851"/>
      <c r="J91" s="851"/>
      <c r="K91" s="851"/>
      <c r="L91" s="851"/>
    </row>
    <row r="92" spans="1:19" s="904" customFormat="1">
      <c r="B92" s="154">
        <f>INPUTS!C29</f>
        <v>0</v>
      </c>
      <c r="C92" s="68">
        <f>'GHG Ent fermentation'!C43</f>
        <v>0</v>
      </c>
      <c r="D92" s="68" t="e">
        <f>Feed!AF92</f>
        <v>#DIV/0!</v>
      </c>
      <c r="E92" s="858" t="str">
        <f t="shared" si="12"/>
        <v/>
      </c>
      <c r="F92" s="858" t="str">
        <f>IFERROR(((((INPUTS!E29*0.034/6.38)+(INPUTS!F29*(268-(7*16))/6250))*INPUTS!D29/365)/E92),"")</f>
        <v/>
      </c>
      <c r="G92" s="69" t="str">
        <f t="shared" si="13"/>
        <v/>
      </c>
      <c r="H92" s="63"/>
      <c r="I92" s="851"/>
      <c r="J92" s="851"/>
      <c r="K92" s="851"/>
      <c r="L92" s="851"/>
    </row>
    <row r="93" spans="1:19">
      <c r="B93" s="154">
        <f>INPUTS!C30</f>
        <v>0</v>
      </c>
      <c r="C93" s="68">
        <f>'GHG Ent fermentation'!C44</f>
        <v>0</v>
      </c>
      <c r="D93" s="68" t="e">
        <f>Feed!AF99</f>
        <v>#DIV/0!</v>
      </c>
      <c r="E93" s="858" t="str">
        <f t="shared" si="12"/>
        <v/>
      </c>
      <c r="F93" s="858" t="str">
        <f>IFERROR(((((INPUTS!E30*0.034/6.38)+(INPUTS!F30*(268-(7*16))/6250))*INPUTS!D30/365)/E93),"")</f>
        <v/>
      </c>
      <c r="G93" s="69" t="str">
        <f t="shared" si="13"/>
        <v/>
      </c>
      <c r="I93" s="851"/>
      <c r="J93" s="851"/>
      <c r="K93" s="851"/>
      <c r="L93" s="851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410</v>
      </c>
      <c r="F102" s="67"/>
      <c r="G102" s="67" t="s">
        <v>409</v>
      </c>
      <c r="H102" s="67"/>
      <c r="I102" s="46" t="s">
        <v>817</v>
      </c>
      <c r="J102" s="67" t="s">
        <v>818</v>
      </c>
      <c r="L102" s="170" t="s">
        <v>907</v>
      </c>
    </row>
    <row r="103" spans="1:19">
      <c r="A103" s="11"/>
      <c r="B103" s="1628" t="s">
        <v>258</v>
      </c>
      <c r="C103" s="1562" t="s">
        <v>1324</v>
      </c>
      <c r="D103" s="1564"/>
      <c r="E103" s="1624" t="s">
        <v>956</v>
      </c>
      <c r="F103" s="1626"/>
      <c r="G103" s="1624" t="s">
        <v>956</v>
      </c>
      <c r="H103" s="1626"/>
      <c r="I103" s="24" t="s">
        <v>399</v>
      </c>
      <c r="J103" s="31" t="s">
        <v>399</v>
      </c>
      <c r="L103" s="208" t="s">
        <v>401</v>
      </c>
      <c r="M103" s="838"/>
    </row>
    <row r="104" spans="1:19">
      <c r="B104" s="1683"/>
      <c r="C104" s="1672" t="s">
        <v>397</v>
      </c>
      <c r="D104" s="1673"/>
      <c r="E104" s="1624" t="s">
        <v>402</v>
      </c>
      <c r="F104" s="1626"/>
      <c r="G104" s="1624" t="s">
        <v>402</v>
      </c>
      <c r="H104" s="1626"/>
      <c r="I104" s="24" t="s">
        <v>257</v>
      </c>
      <c r="J104" s="31" t="s">
        <v>257</v>
      </c>
      <c r="L104" s="208" t="s">
        <v>402</v>
      </c>
      <c r="M104" s="838"/>
    </row>
    <row r="105" spans="1:19" ht="47.25" customHeight="1">
      <c r="B105" s="1684"/>
      <c r="C105" s="91" t="s">
        <v>396</v>
      </c>
      <c r="D105" s="27" t="s">
        <v>396</v>
      </c>
      <c r="E105" s="1659" t="s">
        <v>412</v>
      </c>
      <c r="F105" s="1660"/>
      <c r="G105" s="1659" t="s">
        <v>411</v>
      </c>
      <c r="H105" s="1660"/>
      <c r="I105" s="24" t="s">
        <v>400</v>
      </c>
      <c r="J105" s="31" t="s">
        <v>400</v>
      </c>
      <c r="L105" s="839" t="s">
        <v>411</v>
      </c>
      <c r="M105" s="840"/>
    </row>
    <row r="106" spans="1:19" ht="15.75" customHeight="1">
      <c r="B106" s="49" t="s">
        <v>143</v>
      </c>
      <c r="C106" s="14" t="str">
        <f>INPUTS!D33</f>
        <v>solid storage</v>
      </c>
      <c r="D106" s="14" t="str">
        <f>INPUTS!D34</f>
        <v xml:space="preserve">dry lot </v>
      </c>
      <c r="E106" s="14" t="str">
        <f>INPUTS!D33</f>
        <v>solid storage</v>
      </c>
      <c r="F106" s="14" t="str">
        <f>INPUTS!D34</f>
        <v xml:space="preserve">dry lot </v>
      </c>
      <c r="G106" s="14" t="str">
        <f>INPUTS!D33</f>
        <v>solid storage</v>
      </c>
      <c r="H106" s="14" t="str">
        <f>INPUTS!D34</f>
        <v xml:space="preserve">dry lot </v>
      </c>
      <c r="I106" s="52" t="s">
        <v>398</v>
      </c>
      <c r="J106" s="48" t="s">
        <v>398</v>
      </c>
    </row>
    <row r="107" spans="1:19">
      <c r="B107" s="154" t="str">
        <f>INPUTS!C17</f>
        <v>Cows (improved)</v>
      </c>
      <c r="C107" s="130">
        <f>VLOOKUP(C$106,'GHG Parameters'!A$227:B$229, 2,FALSE)</f>
        <v>5.0000000000000001E-3</v>
      </c>
      <c r="D107" s="130">
        <f>VLOOKUP(D$106,'GHG Parameters'!A$227:B$229,2,FALSE)</f>
        <v>0.02</v>
      </c>
      <c r="E107" s="68">
        <f>'GHG Manure'!E58*INPUTS!H17*C107</f>
        <v>0.41719499999999998</v>
      </c>
      <c r="F107" s="68">
        <f>'GHG Manure'!E58*INPUTS!I17*D107</f>
        <v>0</v>
      </c>
      <c r="G107" s="61" t="str">
        <f>IFERROR('GHG Manure'!G80*INPUTS!H17*C107,"")</f>
        <v/>
      </c>
      <c r="H107" s="61">
        <f>IFERROR(IFERROR('GHG Manure'!G80*INPUTS!I17*D107,"")/INPUTS!D17,0)</f>
        <v>0</v>
      </c>
      <c r="I107" s="68">
        <f>SUM(E107:F107)*(44/28)*INPUTS!D17</f>
        <v>1.3111842857142857</v>
      </c>
      <c r="J107" s="66">
        <f>SUM(G107:H107)*(44/28)*INPUTS!D17</f>
        <v>0</v>
      </c>
    </row>
    <row r="108" spans="1:19">
      <c r="B108" s="154" t="str">
        <f>INPUTS!C18</f>
        <v>Steers/heifers</v>
      </c>
      <c r="C108" s="130">
        <f>VLOOKUP(C$106,'GHG Parameters'!A$227:B$229, 2,FALSE)</f>
        <v>5.0000000000000001E-3</v>
      </c>
      <c r="D108" s="130">
        <f>VLOOKUP(D$106,'GHG Parameters'!A$227:B$229,2,FALSE)</f>
        <v>0.02</v>
      </c>
      <c r="E108" s="68">
        <f>'GHG Manure'!E59*INPUTS!H18*C108</f>
        <v>0.33342750000000004</v>
      </c>
      <c r="F108" s="68">
        <f>'GHG Manure'!E59*INPUTS!I18*D108</f>
        <v>0</v>
      </c>
      <c r="G108" s="61" t="str">
        <f>IFERROR('GHG Manure'!G81*INPUTS!H18*C108,"")</f>
        <v/>
      </c>
      <c r="H108" s="61">
        <f>IFERROR(IFERROR('GHG Manure'!G81*INPUTS!I18*D108,"")/INPUTS!D18,0)</f>
        <v>0</v>
      </c>
      <c r="I108" s="68">
        <f>SUM(E108:F108)*(44/28)*INPUTS!D18</f>
        <v>1.5718725000000002</v>
      </c>
      <c r="J108" s="66">
        <f>SUM(G108:H108)*(44/28)*INPUTS!D18</f>
        <v>0</v>
      </c>
    </row>
    <row r="109" spans="1:19">
      <c r="B109" s="154">
        <f>INPUTS!C19</f>
        <v>0</v>
      </c>
      <c r="C109" s="130">
        <f>VLOOKUP(C$106,'GHG Parameters'!A$227:B$229, 2,FALSE)</f>
        <v>5.0000000000000001E-3</v>
      </c>
      <c r="D109" s="130">
        <f>VLOOKUP(D$106,'GHG Parameters'!A$227:B$229,2,FALSE)</f>
        <v>0.02</v>
      </c>
      <c r="E109" s="68" t="e">
        <f>'GHG Manure'!E60*INPUTS!H19*C109</f>
        <v>#N/A</v>
      </c>
      <c r="F109" s="68" t="e">
        <f>'GHG Manure'!E60*INPUTS!I19*D109</f>
        <v>#N/A</v>
      </c>
      <c r="G109" s="61" t="str">
        <f>IFERROR('GHG Manure'!G82*INPUTS!H19*C109,"")</f>
        <v/>
      </c>
      <c r="H109" s="61">
        <f>IFERROR(IFERROR('GHG Manure'!G82*INPUTS!I19*D109,"")/INPUTS!D19,0)</f>
        <v>0</v>
      </c>
      <c r="I109" s="68" t="e">
        <f>SUM(E109:F109)*(44/28)*INPUTS!D19</f>
        <v>#N/A</v>
      </c>
      <c r="J109" s="66">
        <f>SUM(G109:H109)*(44/28)*INPUTS!D19</f>
        <v>0</v>
      </c>
    </row>
    <row r="110" spans="1:19">
      <c r="B110" s="154">
        <f>INPUTS!C20</f>
        <v>0</v>
      </c>
      <c r="C110" s="130">
        <f>VLOOKUP(C$106,'GHG Parameters'!A$227:B$229, 2,FALSE)</f>
        <v>5.0000000000000001E-3</v>
      </c>
      <c r="D110" s="130">
        <f>VLOOKUP(D$106,'GHG Parameters'!A$227:B$229,2,FALSE)</f>
        <v>0.02</v>
      </c>
      <c r="E110" s="68" t="e">
        <f>'GHG Manure'!E61*INPUTS!H20*C110</f>
        <v>#N/A</v>
      </c>
      <c r="F110" s="68" t="e">
        <f>'GHG Manure'!E61*INPUTS!I20*D110</f>
        <v>#N/A</v>
      </c>
      <c r="G110" s="61" t="str">
        <f>IFERROR('GHG Manure'!G83*INPUTS!H20*C110,"")</f>
        <v/>
      </c>
      <c r="H110" s="61">
        <f>IFERROR(IFERROR('GHG Manure'!G83*INPUTS!I20*D110,"")/INPUTS!D20,0)</f>
        <v>0</v>
      </c>
      <c r="I110" s="68" t="e">
        <f>SUM(E110:F110)*(44/28)*INPUTS!D20</f>
        <v>#N/A</v>
      </c>
      <c r="J110" s="66">
        <f>SUM(G110:H110)*(44/28)*INPUTS!D20</f>
        <v>0</v>
      </c>
    </row>
    <row r="111" spans="1:19">
      <c r="B111" s="154">
        <f>INPUTS!C21</f>
        <v>0</v>
      </c>
      <c r="C111" s="130">
        <f>VLOOKUP(C$106,'GHG Parameters'!A$227:B$229, 2,FALSE)</f>
        <v>5.0000000000000001E-3</v>
      </c>
      <c r="D111" s="130">
        <f>VLOOKUP(D$106,'GHG Parameters'!A$227:B$229,2,FALSE)</f>
        <v>0.02</v>
      </c>
      <c r="E111" s="68" t="e">
        <f>'GHG Manure'!E62*INPUTS!H21*C111</f>
        <v>#N/A</v>
      </c>
      <c r="F111" s="68" t="e">
        <f>'GHG Manure'!E62*INPUTS!I21*D111</f>
        <v>#N/A</v>
      </c>
      <c r="G111" s="61" t="str">
        <f>IFERROR('GHG Manure'!G84*INPUTS!H21*C111,"")</f>
        <v/>
      </c>
      <c r="H111" s="61">
        <f>IFERROR(IFERROR('GHG Manure'!G84*INPUTS!I21*D111,"")/INPUTS!D21,0)</f>
        <v>0</v>
      </c>
      <c r="I111" s="68" t="e">
        <f>SUM(E111:F111)*(44/28)*INPUTS!D21</f>
        <v>#N/A</v>
      </c>
      <c r="J111" s="66">
        <f>SUM(G111:H111)*(44/28)*INPUTS!D21</f>
        <v>0</v>
      </c>
    </row>
    <row r="112" spans="1:19">
      <c r="B112" s="154">
        <f>INPUTS!C22</f>
        <v>0</v>
      </c>
      <c r="C112" s="130">
        <f>VLOOKUP(C$106,'GHG Parameters'!A$227:B$229, 2,FALSE)</f>
        <v>5.0000000000000001E-3</v>
      </c>
      <c r="D112" s="130">
        <f>VLOOKUP(D$106,'GHG Parameters'!A$227:B$229,2,FALSE)</f>
        <v>0.02</v>
      </c>
      <c r="E112" s="68" t="e">
        <f>'GHG Manure'!E63*INPUTS!H22*C112</f>
        <v>#N/A</v>
      </c>
      <c r="F112" s="68" t="e">
        <f>'GHG Manure'!E63*INPUTS!I22*D112</f>
        <v>#N/A</v>
      </c>
      <c r="G112" s="61" t="str">
        <f>IFERROR('GHG Manure'!G85*INPUTS!H22*C112,"")</f>
        <v/>
      </c>
      <c r="H112" s="61">
        <f>IFERROR(IFERROR('GHG Manure'!G85*INPUTS!I22*D112,"")/INPUTS!D22,0)</f>
        <v>0</v>
      </c>
      <c r="I112" s="68" t="e">
        <f>SUM(E112:F112)*(44/28)*INPUTS!D22</f>
        <v>#N/A</v>
      </c>
      <c r="J112" s="66">
        <f>SUM(G112:H112)*(44/28)*INPUTS!D22</f>
        <v>0</v>
      </c>
    </row>
    <row r="113" spans="1:13">
      <c r="B113" s="154">
        <f>INPUTS!C23</f>
        <v>0</v>
      </c>
      <c r="C113" s="130">
        <f>VLOOKUP(C$106,'GHG Parameters'!A$227:B$229, 2,FALSE)</f>
        <v>5.0000000000000001E-3</v>
      </c>
      <c r="D113" s="130">
        <f>VLOOKUP(D$106,'GHG Parameters'!A$227:B$229,2,FALSE)</f>
        <v>0.02</v>
      </c>
      <c r="E113" s="68" t="e">
        <f>'GHG Manure'!E64*INPUTS!H23*C113</f>
        <v>#N/A</v>
      </c>
      <c r="F113" s="68" t="e">
        <f>'GHG Manure'!E64*INPUTS!I23*D113</f>
        <v>#N/A</v>
      </c>
      <c r="G113" s="61" t="str">
        <f>IFERROR('GHG Manure'!G86*INPUTS!H23*C113,"")</f>
        <v/>
      </c>
      <c r="H113" s="61">
        <f>IFERROR(IFERROR('GHG Manure'!G86*INPUTS!I23*D113,"")/INPUTS!D23,0)</f>
        <v>0</v>
      </c>
      <c r="I113" s="68" t="e">
        <f>SUM(E113:F113)*(44/28)*INPUTS!D23</f>
        <v>#N/A</v>
      </c>
      <c r="J113" s="66">
        <f>SUM(G113:H113)*(44/28)*INPUTS!D23</f>
        <v>0</v>
      </c>
    </row>
    <row r="114" spans="1:13">
      <c r="B114" s="154">
        <f>INPUTS!C24</f>
        <v>0</v>
      </c>
      <c r="C114" s="130">
        <f>VLOOKUP(C$106,'GHG Parameters'!A$227:B$229, 2,FALSE)</f>
        <v>5.0000000000000001E-3</v>
      </c>
      <c r="D114" s="130">
        <f>VLOOKUP(D$106,'GHG Parameters'!A$227:B$229,2,FALSE)</f>
        <v>0.02</v>
      </c>
      <c r="E114" s="68" t="e">
        <f>'GHG Manure'!E65*INPUTS!H24*C114</f>
        <v>#N/A</v>
      </c>
      <c r="F114" s="68" t="e">
        <f>'GHG Manure'!E65*INPUTS!I24*D114</f>
        <v>#N/A</v>
      </c>
      <c r="G114" s="61" t="str">
        <f>IFERROR('GHG Manure'!G87*INPUTS!H24*C114,"")</f>
        <v/>
      </c>
      <c r="H114" s="61">
        <f>IFERROR(IFERROR('GHG Manure'!G87*INPUTS!I24*D114,"")/INPUTS!D24,0)</f>
        <v>0</v>
      </c>
      <c r="I114" s="68" t="e">
        <f>SUM(E114:F114)*(44/28)*INPUTS!D24</f>
        <v>#N/A</v>
      </c>
      <c r="J114" s="66">
        <f>SUM(G114:H114)*(44/28)*INPUTS!D24</f>
        <v>0</v>
      </c>
    </row>
    <row r="115" spans="1:13" s="896" customFormat="1">
      <c r="B115" s="154">
        <f>INPUTS!C25</f>
        <v>0</v>
      </c>
      <c r="C115" s="130">
        <f>VLOOKUP(C$106,'GHG Parameters'!A$227:B$229, 2,FALSE)</f>
        <v>5.0000000000000001E-3</v>
      </c>
      <c r="D115" s="130">
        <f>VLOOKUP(D$106,'GHG Parameters'!A$227:B$229,2,FALSE)</f>
        <v>0.02</v>
      </c>
      <c r="E115" s="68" t="e">
        <f>'GHG Manure'!E66*INPUTS!H25*C115</f>
        <v>#N/A</v>
      </c>
      <c r="F115" s="68" t="e">
        <f>'GHG Manure'!E66*INPUTS!I25*D115</f>
        <v>#N/A</v>
      </c>
      <c r="G115" s="61" t="str">
        <f>IFERROR('GHG Manure'!G88*INPUTS!H25*C115,"")</f>
        <v/>
      </c>
      <c r="H115" s="61">
        <f>IFERROR(IFERROR('GHG Manure'!G88*INPUTS!I25*D115,"")/INPUTS!D25,0)</f>
        <v>0</v>
      </c>
      <c r="I115" s="68" t="e">
        <f>SUM(E115:F115)*(44/28)*INPUTS!D25</f>
        <v>#N/A</v>
      </c>
      <c r="J115" s="66">
        <f>SUM(G115:H115)*(44/28)*INPUTS!D25</f>
        <v>0</v>
      </c>
    </row>
    <row r="116" spans="1:13" s="962" customFormat="1">
      <c r="B116" s="154">
        <f>INPUTS!C26</f>
        <v>0</v>
      </c>
      <c r="C116" s="130">
        <f>VLOOKUP(C$106,'GHG Parameters'!A$227:B$229, 2,FALSE)</f>
        <v>5.0000000000000001E-3</v>
      </c>
      <c r="D116" s="130">
        <f>VLOOKUP(D$106,'GHG Parameters'!A$227:B$229,2,FALSE)</f>
        <v>0.02</v>
      </c>
      <c r="E116" s="68" t="e">
        <f>'GHG Manure'!E67*INPUTS!H26*C116</f>
        <v>#N/A</v>
      </c>
      <c r="F116" s="68" t="e">
        <f>'GHG Manure'!E67*INPUTS!I26*D116</f>
        <v>#N/A</v>
      </c>
      <c r="G116" s="61" t="str">
        <f>IFERROR('GHG Manure'!G89*INPUTS!H26*C116,"")</f>
        <v/>
      </c>
      <c r="H116" s="61">
        <f>IFERROR(IFERROR('GHG Manure'!G89*INPUTS!I26*D116,"")/INPUTS!D26,0)</f>
        <v>0</v>
      </c>
      <c r="I116" s="68" t="e">
        <f>SUM(E116:F116)*(44/28)*INPUTS!D26</f>
        <v>#N/A</v>
      </c>
      <c r="J116" s="66">
        <f>SUM(G116:H116)*(44/28)*INPUTS!D26</f>
        <v>0</v>
      </c>
    </row>
    <row r="117" spans="1:13" s="962" customFormat="1">
      <c r="B117" s="154">
        <f>INPUTS!C27</f>
        <v>0</v>
      </c>
      <c r="C117" s="130">
        <f>VLOOKUP(C$106,'GHG Parameters'!A$227:B$229, 2,FALSE)</f>
        <v>5.0000000000000001E-3</v>
      </c>
      <c r="D117" s="130">
        <f>VLOOKUP(D$106,'GHG Parameters'!A$227:B$229,2,FALSE)</f>
        <v>0.02</v>
      </c>
      <c r="E117" s="68" t="e">
        <f>'GHG Manure'!E68*INPUTS!H27*C117</f>
        <v>#N/A</v>
      </c>
      <c r="F117" s="68" t="e">
        <f>'GHG Manure'!E68*INPUTS!I27*D117</f>
        <v>#N/A</v>
      </c>
      <c r="G117" s="61" t="str">
        <f>IFERROR('GHG Manure'!G90*INPUTS!H27*C117,"")</f>
        <v/>
      </c>
      <c r="H117" s="61">
        <f>IFERROR(IFERROR('GHG Manure'!G90*INPUTS!I27*D117,"")/INPUTS!D27,0)</f>
        <v>0</v>
      </c>
      <c r="I117" s="68" t="e">
        <f>SUM(E117:F117)*(44/28)*INPUTS!D27</f>
        <v>#N/A</v>
      </c>
      <c r="J117" s="66">
        <f>SUM(G117:H117)*(44/28)*INPUTS!D27</f>
        <v>0</v>
      </c>
    </row>
    <row r="118" spans="1:13" s="904" customFormat="1">
      <c r="B118" s="154">
        <f>INPUTS!C28</f>
        <v>0</v>
      </c>
      <c r="C118" s="130">
        <f>VLOOKUP(C$106,'GHG Parameters'!A$227:B$229, 2,FALSE)</f>
        <v>5.0000000000000001E-3</v>
      </c>
      <c r="D118" s="130">
        <f>VLOOKUP(D$106,'GHG Parameters'!A$227:B$229,2,FALSE)</f>
        <v>0.02</v>
      </c>
      <c r="E118" s="68" t="e">
        <f>'GHG Manure'!E69*INPUTS!H28*C118</f>
        <v>#N/A</v>
      </c>
      <c r="F118" s="68" t="e">
        <f>'GHG Manure'!E69*INPUTS!I28*D118</f>
        <v>#N/A</v>
      </c>
      <c r="G118" s="61" t="str">
        <f>IFERROR('GHG Manure'!G91*INPUTS!H28*C118,"")</f>
        <v/>
      </c>
      <c r="H118" s="61">
        <f>IFERROR(IFERROR('GHG Manure'!G91*INPUTS!I28*D118,"")/INPUTS!D28,0)</f>
        <v>0</v>
      </c>
      <c r="I118" s="68" t="e">
        <f>SUM(E118:F118)*(44/28)*INPUTS!D28</f>
        <v>#N/A</v>
      </c>
      <c r="J118" s="66">
        <f>SUM(G118:H118)*(44/28)*INPUTS!D28</f>
        <v>0</v>
      </c>
    </row>
    <row r="119" spans="1:13" s="904" customFormat="1">
      <c r="B119" s="154">
        <f>INPUTS!C29</f>
        <v>0</v>
      </c>
      <c r="C119" s="130">
        <f>VLOOKUP(C$106,'GHG Parameters'!A$227:B$229, 2,FALSE)</f>
        <v>5.0000000000000001E-3</v>
      </c>
      <c r="D119" s="130">
        <f>VLOOKUP(D$106,'GHG Parameters'!A$227:B$229,2,FALSE)</f>
        <v>0.02</v>
      </c>
      <c r="E119" s="68" t="e">
        <f>'GHG Manure'!E70*INPUTS!H29*C119</f>
        <v>#N/A</v>
      </c>
      <c r="F119" s="68" t="e">
        <f>'GHG Manure'!E70*INPUTS!I29*D119</f>
        <v>#N/A</v>
      </c>
      <c r="G119" s="61" t="str">
        <f>IFERROR('GHG Manure'!G92*INPUTS!H29*C119,"")</f>
        <v/>
      </c>
      <c r="H119" s="61">
        <f>IFERROR(IFERROR('GHG Manure'!G92*INPUTS!I29*D119,"")/INPUTS!D29,0)</f>
        <v>0</v>
      </c>
      <c r="I119" s="68" t="e">
        <f>SUM(E119:F119)*(44/28)*INPUTS!D29</f>
        <v>#N/A</v>
      </c>
      <c r="J119" s="66">
        <f>SUM(G119:H119)*(44/28)*INPUTS!D29</f>
        <v>0</v>
      </c>
    </row>
    <row r="120" spans="1:13">
      <c r="B120" s="154">
        <f>INPUTS!C30</f>
        <v>0</v>
      </c>
      <c r="C120" s="130">
        <f>VLOOKUP(C$106,'GHG Parameters'!A$227:B$229, 2,FALSE)</f>
        <v>5.0000000000000001E-3</v>
      </c>
      <c r="D120" s="130">
        <f>VLOOKUP(D$106,'GHG Parameters'!A$227:B$229,2,FALSE)</f>
        <v>0.02</v>
      </c>
      <c r="E120" s="68" t="e">
        <f>'GHG Manure'!E71*INPUTS!H30*C120</f>
        <v>#N/A</v>
      </c>
      <c r="F120" s="68" t="e">
        <f>'GHG Manure'!E71*INPUTS!I30*D120</f>
        <v>#N/A</v>
      </c>
      <c r="G120" s="61" t="str">
        <f>IFERROR('GHG Manure'!G93*INPUTS!H30*C120,"")</f>
        <v/>
      </c>
      <c r="H120" s="61">
        <f>IFERROR(IFERROR('GHG Manure'!G93*INPUTS!I30*D120,"")/INPUTS!D30,0)</f>
        <v>0</v>
      </c>
      <c r="I120" s="68" t="e">
        <f>SUM(E120:F120)*(44/28)*INPUTS!D30</f>
        <v>#N/A</v>
      </c>
      <c r="J120" s="66">
        <f>SUM(G120:H120)*(44/28)*INPUTS!D30</f>
        <v>0</v>
      </c>
    </row>
    <row r="121" spans="1:13">
      <c r="H121" s="50" t="s">
        <v>122</v>
      </c>
      <c r="I121" s="47">
        <f>SUMIF(I107:I120,"&lt;&gt;#N/A")</f>
        <v>2.8830567857142859</v>
      </c>
      <c r="J121" s="66">
        <f>SUM(J107:J120)</f>
        <v>0</v>
      </c>
    </row>
    <row r="124" spans="1:13">
      <c r="A124" s="5" t="s">
        <v>425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424</v>
      </c>
      <c r="J125" s="23" t="s">
        <v>424</v>
      </c>
      <c r="K125" s="23"/>
      <c r="L125" s="23" t="s">
        <v>423</v>
      </c>
      <c r="M125" s="67" t="s">
        <v>423</v>
      </c>
    </row>
    <row r="126" spans="1:13" ht="47.25" customHeight="1">
      <c r="A126" s="10"/>
      <c r="B126" s="1664" t="s">
        <v>258</v>
      </c>
      <c r="C126" s="1681" t="s">
        <v>419</v>
      </c>
      <c r="D126" s="1574"/>
      <c r="E126" s="1562" t="s">
        <v>420</v>
      </c>
      <c r="F126" s="1564"/>
      <c r="G126" s="1562" t="s">
        <v>420</v>
      </c>
      <c r="H126" s="1564"/>
      <c r="I126" s="56" t="s">
        <v>418</v>
      </c>
      <c r="J126" s="56" t="s">
        <v>418</v>
      </c>
      <c r="K126" s="58" t="s">
        <v>404</v>
      </c>
      <c r="L126" s="24" t="s">
        <v>421</v>
      </c>
      <c r="M126" s="31" t="s">
        <v>421</v>
      </c>
    </row>
    <row r="127" spans="1:13" ht="31.5">
      <c r="B127" s="1665"/>
      <c r="C127" s="1667" t="s">
        <v>360</v>
      </c>
      <c r="D127" s="1668"/>
      <c r="E127" s="1659" t="s">
        <v>403</v>
      </c>
      <c r="F127" s="1660"/>
      <c r="G127" s="1659" t="s">
        <v>403</v>
      </c>
      <c r="H127" s="1660"/>
      <c r="I127" s="56" t="s">
        <v>214</v>
      </c>
      <c r="J127" s="56" t="s">
        <v>214</v>
      </c>
      <c r="K127" s="52" t="s">
        <v>406</v>
      </c>
      <c r="L127" s="60" t="s">
        <v>407</v>
      </c>
      <c r="M127" s="60" t="s">
        <v>407</v>
      </c>
    </row>
    <row r="128" spans="1:13" ht="47.25">
      <c r="B128" s="1666"/>
      <c r="C128" s="1659" t="s">
        <v>123</v>
      </c>
      <c r="D128" s="1660"/>
      <c r="E128" s="1659" t="s">
        <v>413</v>
      </c>
      <c r="F128" s="1660"/>
      <c r="G128" s="1659" t="s">
        <v>414</v>
      </c>
      <c r="H128" s="1660"/>
      <c r="I128" s="56"/>
      <c r="J128" s="56"/>
      <c r="K128" s="59" t="s">
        <v>405</v>
      </c>
      <c r="L128" s="54" t="s">
        <v>408</v>
      </c>
      <c r="M128" s="54" t="s">
        <v>408</v>
      </c>
    </row>
    <row r="129" spans="1:13" s="10" customFormat="1" ht="78.75" customHeight="1">
      <c r="A129"/>
      <c r="B129" s="62" t="s">
        <v>385</v>
      </c>
      <c r="C129" s="161" t="str">
        <f>INPUTS!D33</f>
        <v>solid storage</v>
      </c>
      <c r="D129" s="161" t="str">
        <f>INPUTS!D34</f>
        <v xml:space="preserve">dry lot </v>
      </c>
      <c r="E129" s="52" t="str">
        <f>INPUTS!D33</f>
        <v>solid storage</v>
      </c>
      <c r="F129" s="52" t="str">
        <f>INPUTS!D34</f>
        <v xml:space="preserve">dry lot </v>
      </c>
      <c r="G129" s="52" t="str">
        <f>INPUTS!D33</f>
        <v>solid storage</v>
      </c>
      <c r="H129" s="52" t="str">
        <f>INPUTS!D34</f>
        <v xml:space="preserve">dry lot </v>
      </c>
      <c r="I129" s="56" t="s">
        <v>415</v>
      </c>
      <c r="J129" s="56" t="s">
        <v>416</v>
      </c>
      <c r="K129" s="59" t="s">
        <v>125</v>
      </c>
      <c r="L129" s="54" t="s">
        <v>417</v>
      </c>
      <c r="M129" s="54" t="s">
        <v>422</v>
      </c>
    </row>
    <row r="130" spans="1:13" ht="17.100000000000001" customHeight="1">
      <c r="B130" s="154" t="str">
        <f>INPUTS!C17</f>
        <v>Cows (improved)</v>
      </c>
      <c r="C130" s="160">
        <f>VLOOKUP($C$129,'GHG Parameters'!$B$133:$C$137,2,FALSE)</f>
        <v>0.3</v>
      </c>
      <c r="D130" s="160">
        <f>VLOOKUP($D$129,'GHG Parameters'!$B$132:$C$133,2,FALSE)</f>
        <v>0.2</v>
      </c>
      <c r="E130" s="53">
        <f>'GHG Manure'!E58*INPUTS!H17*C130</f>
        <v>25.031699999999997</v>
      </c>
      <c r="F130" s="53">
        <f>'GHG Manure'!E59*INPUTS!I17*D130</f>
        <v>0</v>
      </c>
      <c r="G130" s="53" t="str">
        <f>IFERROR((('GHG Manure'!G80*INPUTS!H17)*'GHG Manure'!C130),"")</f>
        <v/>
      </c>
      <c r="H130" s="53">
        <f>IFERROR(IFERROR('GHG Manure'!G80*INPUTS!I17*'GHG Manure'!D130,"")/INPUTS!D17,0)</f>
        <v>0</v>
      </c>
      <c r="I130" s="57">
        <f>(SUM(E130:F130))*INPUTS!D17</f>
        <v>50.063399999999994</v>
      </c>
      <c r="J130" s="57">
        <f>(SUM(G130:H130))*INPUTS!D17</f>
        <v>0</v>
      </c>
      <c r="K130" s="52">
        <f>'GHG Parameters'!D$241</f>
        <v>0.01</v>
      </c>
      <c r="L130" s="68">
        <f t="shared" ref="L130:L143" si="16">(I130*K130)*(44/28)</f>
        <v>0.78671057142857126</v>
      </c>
      <c r="M130" s="55">
        <f t="shared" ref="M130:M143" si="17">(J130*K130)*(44/28)</f>
        <v>0</v>
      </c>
    </row>
    <row r="131" spans="1:13">
      <c r="B131" s="154" t="str">
        <f>INPUTS!C18</f>
        <v>Steers/heifers</v>
      </c>
      <c r="C131" s="160">
        <f>VLOOKUP($C$129,'GHG Parameters'!$B$133:$C$137,2,FALSE)</f>
        <v>0.3</v>
      </c>
      <c r="D131" s="160">
        <f>VLOOKUP($D$129,'GHG Parameters'!$B$132:$C$133,2,FALSE)</f>
        <v>0.2</v>
      </c>
      <c r="E131" s="53">
        <f>'GHG Manure'!E59*INPUTS!H18*C131</f>
        <v>20.005649999999999</v>
      </c>
      <c r="F131" s="53" t="e">
        <f>'GHG Manure'!E60*INPUTS!I18*D131</f>
        <v>#N/A</v>
      </c>
      <c r="G131" s="53" t="str">
        <f>IFERROR((('GHG Manure'!G81*INPUTS!H18)*'GHG Manure'!C131),"")</f>
        <v/>
      </c>
      <c r="H131" s="53">
        <f>IFERROR(IFERROR('GHG Manure'!G81*INPUTS!I18*'GHG Manure'!D131,"")/INPUTS!D18,0)</f>
        <v>0</v>
      </c>
      <c r="I131" s="57" t="e">
        <f>(SUM(E131:F131))*INPUTS!D18</f>
        <v>#N/A</v>
      </c>
      <c r="J131" s="57">
        <f>(SUM(G131:H131))*INPUTS!D18</f>
        <v>0</v>
      </c>
      <c r="K131" s="52">
        <f>'GHG Parameters'!D$241</f>
        <v>0.01</v>
      </c>
      <c r="L131" s="68" t="e">
        <f t="shared" si="16"/>
        <v>#N/A</v>
      </c>
      <c r="M131" s="55">
        <f t="shared" si="17"/>
        <v>0</v>
      </c>
    </row>
    <row r="132" spans="1:13">
      <c r="B132" s="154">
        <f>INPUTS!C19</f>
        <v>0</v>
      </c>
      <c r="C132" s="160">
        <f>VLOOKUP($C$129,'GHG Parameters'!$B$133:$C$137,2,FALSE)</f>
        <v>0.3</v>
      </c>
      <c r="D132" s="160">
        <f>VLOOKUP($D$129,'GHG Parameters'!$B$132:$C$133,2,FALSE)</f>
        <v>0.2</v>
      </c>
      <c r="E132" s="53" t="e">
        <f>'GHG Manure'!E60*INPUTS!H19*C132</f>
        <v>#N/A</v>
      </c>
      <c r="F132" s="53" t="e">
        <f>'GHG Manure'!E61*INPUTS!I19*D132</f>
        <v>#N/A</v>
      </c>
      <c r="G132" s="53" t="str">
        <f>IFERROR((('GHG Manure'!G82*INPUTS!H19)*'GHG Manure'!C132),"")</f>
        <v/>
      </c>
      <c r="H132" s="53">
        <f>IFERROR(IFERROR('GHG Manure'!G82*INPUTS!I19*'GHG Manure'!D132,"")/INPUTS!D19,0)</f>
        <v>0</v>
      </c>
      <c r="I132" s="57" t="e">
        <f>(SUM(E132:F132))*INPUTS!D19</f>
        <v>#N/A</v>
      </c>
      <c r="J132" s="57">
        <f>(SUM(G132:H132))*INPUTS!D19</f>
        <v>0</v>
      </c>
      <c r="K132" s="52">
        <f>'GHG Parameters'!D$241</f>
        <v>0.01</v>
      </c>
      <c r="L132" s="68" t="e">
        <f t="shared" si="16"/>
        <v>#N/A</v>
      </c>
      <c r="M132" s="55">
        <f t="shared" si="17"/>
        <v>0</v>
      </c>
    </row>
    <row r="133" spans="1:13">
      <c r="B133" s="154">
        <f>INPUTS!C20</f>
        <v>0</v>
      </c>
      <c r="C133" s="160">
        <f>VLOOKUP($C$129,'GHG Parameters'!$B$133:$C$137,2,FALSE)</f>
        <v>0.3</v>
      </c>
      <c r="D133" s="160">
        <f>VLOOKUP($D$129,'GHG Parameters'!$B$132:$C$133,2,FALSE)</f>
        <v>0.2</v>
      </c>
      <c r="E133" s="53" t="e">
        <f>'GHG Manure'!E61*INPUTS!H20*C133</f>
        <v>#N/A</v>
      </c>
      <c r="F133" s="53" t="e">
        <f>'GHG Manure'!E62*INPUTS!I20*D133</f>
        <v>#N/A</v>
      </c>
      <c r="G133" s="53" t="str">
        <f>IFERROR((('GHG Manure'!G83*INPUTS!H20)*'GHG Manure'!C133),"")</f>
        <v/>
      </c>
      <c r="H133" s="53">
        <f>IFERROR(IFERROR('GHG Manure'!G83*INPUTS!I20*'GHG Manure'!D133,"")/INPUTS!D20,0)</f>
        <v>0</v>
      </c>
      <c r="I133" s="57" t="e">
        <f>(SUM(E133:F133))*INPUTS!D20</f>
        <v>#N/A</v>
      </c>
      <c r="J133" s="57">
        <f>(SUM(G133:H133))*INPUTS!D20</f>
        <v>0</v>
      </c>
      <c r="K133" s="52">
        <f>'GHG Parameters'!D$241</f>
        <v>0.01</v>
      </c>
      <c r="L133" s="68" t="e">
        <f t="shared" si="16"/>
        <v>#N/A</v>
      </c>
      <c r="M133" s="55">
        <f t="shared" si="17"/>
        <v>0</v>
      </c>
    </row>
    <row r="134" spans="1:13">
      <c r="B134" s="154">
        <f>INPUTS!C21</f>
        <v>0</v>
      </c>
      <c r="C134" s="160">
        <f>VLOOKUP($C$129,'GHG Parameters'!$B$133:$C$137,2,FALSE)</f>
        <v>0.3</v>
      </c>
      <c r="D134" s="160">
        <f>VLOOKUP($D$129,'GHG Parameters'!$B$132:$C$133,2,FALSE)</f>
        <v>0.2</v>
      </c>
      <c r="E134" s="53" t="e">
        <f>'GHG Manure'!E62*INPUTS!H21*C134</f>
        <v>#N/A</v>
      </c>
      <c r="F134" s="53" t="e">
        <f>'GHG Manure'!E63*INPUTS!I21*D134</f>
        <v>#N/A</v>
      </c>
      <c r="G134" s="53" t="str">
        <f>IFERROR((('GHG Manure'!G84*INPUTS!H21)*'GHG Manure'!C134),"")</f>
        <v/>
      </c>
      <c r="H134" s="53">
        <f>IFERROR(IFERROR('GHG Manure'!G84*INPUTS!I21*'GHG Manure'!D134,"")/INPUTS!D21,0)</f>
        <v>0</v>
      </c>
      <c r="I134" s="57" t="e">
        <f>(SUM(E134:F134))*INPUTS!D21</f>
        <v>#N/A</v>
      </c>
      <c r="J134" s="57">
        <f>(SUM(G134:H134))*INPUTS!D21</f>
        <v>0</v>
      </c>
      <c r="K134" s="52">
        <f>'GHG Parameters'!D$241</f>
        <v>0.01</v>
      </c>
      <c r="L134" s="68" t="e">
        <f t="shared" si="16"/>
        <v>#N/A</v>
      </c>
      <c r="M134" s="55">
        <f t="shared" si="17"/>
        <v>0</v>
      </c>
    </row>
    <row r="135" spans="1:13">
      <c r="B135" s="154">
        <f>INPUTS!C22</f>
        <v>0</v>
      </c>
      <c r="C135" s="160">
        <f>VLOOKUP($C$129,'GHG Parameters'!$B$133:$C$137,2,FALSE)</f>
        <v>0.3</v>
      </c>
      <c r="D135" s="160">
        <f>VLOOKUP($D$129,'GHG Parameters'!$B$132:$C$133,2,FALSE)</f>
        <v>0.2</v>
      </c>
      <c r="E135" s="53" t="e">
        <f>'GHG Manure'!E63*INPUTS!H22*C135</f>
        <v>#N/A</v>
      </c>
      <c r="F135" s="53" t="e">
        <f>'GHG Manure'!E64*INPUTS!I22*D135</f>
        <v>#N/A</v>
      </c>
      <c r="G135" s="53" t="str">
        <f>IFERROR((('GHG Manure'!G85*INPUTS!H22)*'GHG Manure'!C135),"")</f>
        <v/>
      </c>
      <c r="H135" s="53">
        <f>IFERROR(IFERROR('GHG Manure'!G85*INPUTS!I22*'GHG Manure'!D135,"")/INPUTS!D22,0)</f>
        <v>0</v>
      </c>
      <c r="I135" s="57" t="e">
        <f>(SUM(E135:F135))*INPUTS!D22</f>
        <v>#N/A</v>
      </c>
      <c r="J135" s="57">
        <f>(SUM(G135:H135))*INPUTS!D22</f>
        <v>0</v>
      </c>
      <c r="K135" s="52">
        <f>'GHG Parameters'!D$241</f>
        <v>0.01</v>
      </c>
      <c r="L135" s="68" t="e">
        <f t="shared" si="16"/>
        <v>#N/A</v>
      </c>
      <c r="M135" s="55">
        <f t="shared" si="17"/>
        <v>0</v>
      </c>
    </row>
    <row r="136" spans="1:13">
      <c r="B136" s="154">
        <f>INPUTS!C23</f>
        <v>0</v>
      </c>
      <c r="C136" s="160">
        <f>VLOOKUP($C$129,'GHG Parameters'!$B$133:$C$137,2,FALSE)</f>
        <v>0.3</v>
      </c>
      <c r="D136" s="160">
        <f>VLOOKUP($D$129,'GHG Parameters'!$B$132:$C$133,2,FALSE)</f>
        <v>0.2</v>
      </c>
      <c r="E136" s="53" t="e">
        <f>'GHG Manure'!E64*INPUTS!H23*C136</f>
        <v>#N/A</v>
      </c>
      <c r="F136" s="53" t="e">
        <f>'GHG Manure'!E65*INPUTS!I23*D136</f>
        <v>#N/A</v>
      </c>
      <c r="G136" s="53" t="str">
        <f>IFERROR((('GHG Manure'!G86*INPUTS!H23)*'GHG Manure'!C136),"")</f>
        <v/>
      </c>
      <c r="H136" s="53">
        <f>IFERROR(IFERROR('GHG Manure'!G86*INPUTS!I23*'GHG Manure'!D136,"")/INPUTS!D23,0)</f>
        <v>0</v>
      </c>
      <c r="I136" s="57" t="e">
        <f>(SUM(E136:F136))*INPUTS!D23</f>
        <v>#N/A</v>
      </c>
      <c r="J136" s="57">
        <f>(SUM(G136:H136))*INPUTS!D23</f>
        <v>0</v>
      </c>
      <c r="K136" s="52">
        <f>'GHG Parameters'!D$241</f>
        <v>0.01</v>
      </c>
      <c r="L136" s="68" t="e">
        <f t="shared" si="16"/>
        <v>#N/A</v>
      </c>
      <c r="M136" s="55">
        <f t="shared" si="17"/>
        <v>0</v>
      </c>
    </row>
    <row r="137" spans="1:13" s="896" customFormat="1">
      <c r="B137" s="154">
        <f>INPUTS!C24</f>
        <v>0</v>
      </c>
      <c r="C137" s="160">
        <f>VLOOKUP($C$129,'GHG Parameters'!$B$133:$C$137,2,FALSE)</f>
        <v>0.3</v>
      </c>
      <c r="D137" s="160">
        <f>VLOOKUP($D$129,'GHG Parameters'!$B$132:$C$133,2,FALSE)</f>
        <v>0.2</v>
      </c>
      <c r="E137" s="53" t="e">
        <f>'GHG Manure'!E65*INPUTS!H24*C137</f>
        <v>#N/A</v>
      </c>
      <c r="F137" s="53" t="e">
        <f>'GHG Manure'!E66*INPUTS!I24*D137</f>
        <v>#N/A</v>
      </c>
      <c r="G137" s="53" t="str">
        <f>IFERROR((('GHG Manure'!G87*INPUTS!H24)*'GHG Manure'!C137),"")</f>
        <v/>
      </c>
      <c r="H137" s="53">
        <f>IFERROR(IFERROR('GHG Manure'!G87*INPUTS!I24*'GHG Manure'!D137,"")/INPUTS!D24,0)</f>
        <v>0</v>
      </c>
      <c r="I137" s="57" t="e">
        <f>(SUM(E137:F137))*INPUTS!D24</f>
        <v>#N/A</v>
      </c>
      <c r="J137" s="57">
        <f>(SUM(G137:H137))*INPUTS!D24</f>
        <v>0</v>
      </c>
      <c r="K137" s="52">
        <f>'GHG Parameters'!D$241</f>
        <v>0.01</v>
      </c>
      <c r="L137" s="68" t="e">
        <f t="shared" si="16"/>
        <v>#N/A</v>
      </c>
      <c r="M137" s="55">
        <f t="shared" si="17"/>
        <v>0</v>
      </c>
    </row>
    <row r="138" spans="1:13" s="962" customFormat="1">
      <c r="B138" s="154">
        <f>INPUTS!C25</f>
        <v>0</v>
      </c>
      <c r="C138" s="160">
        <f>VLOOKUP($C$129,'GHG Parameters'!$B$133:$C$137,2,FALSE)</f>
        <v>0.3</v>
      </c>
      <c r="D138" s="160">
        <f>VLOOKUP($D$129,'GHG Parameters'!$B$132:$C$133,2,FALSE)</f>
        <v>0.2</v>
      </c>
      <c r="E138" s="53" t="e">
        <f>'GHG Manure'!E66*INPUTS!H25*C138</f>
        <v>#N/A</v>
      </c>
      <c r="F138" s="53" t="e">
        <f>'GHG Manure'!E67*INPUTS!I25*D138</f>
        <v>#N/A</v>
      </c>
      <c r="G138" s="53" t="str">
        <f>IFERROR((('GHG Manure'!G88*INPUTS!H25)*'GHG Manure'!C138),"")</f>
        <v/>
      </c>
      <c r="H138" s="53">
        <f>IFERROR(IFERROR('GHG Manure'!G88*INPUTS!I25*'GHG Manure'!D138,"")/INPUTS!D25,0)</f>
        <v>0</v>
      </c>
      <c r="I138" s="57" t="e">
        <f>(SUM(E138:F138))*INPUTS!D25</f>
        <v>#N/A</v>
      </c>
      <c r="J138" s="57">
        <f>(SUM(G138:H138))*INPUTS!D25</f>
        <v>0</v>
      </c>
      <c r="K138" s="52">
        <f>'GHG Parameters'!D$241</f>
        <v>0.01</v>
      </c>
      <c r="L138" s="68" t="e">
        <f t="shared" si="16"/>
        <v>#N/A</v>
      </c>
      <c r="M138" s="55">
        <f t="shared" si="17"/>
        <v>0</v>
      </c>
    </row>
    <row r="139" spans="1:13" s="962" customFormat="1">
      <c r="B139" s="154">
        <f>INPUTS!C26</f>
        <v>0</v>
      </c>
      <c r="C139" s="160">
        <f>VLOOKUP($C$129,'GHG Parameters'!$B$133:$C$137,2,FALSE)</f>
        <v>0.3</v>
      </c>
      <c r="D139" s="160">
        <f>VLOOKUP($D$129,'GHG Parameters'!$B$132:$C$133,2,FALSE)</f>
        <v>0.2</v>
      </c>
      <c r="E139" s="53" t="e">
        <f>'GHG Manure'!E67*INPUTS!H26*C139</f>
        <v>#N/A</v>
      </c>
      <c r="F139" s="53" t="e">
        <f>'GHG Manure'!E68*INPUTS!I26*D139</f>
        <v>#N/A</v>
      </c>
      <c r="G139" s="53" t="str">
        <f>IFERROR((('GHG Manure'!G89*INPUTS!H26)*'GHG Manure'!C139),"")</f>
        <v/>
      </c>
      <c r="H139" s="53">
        <f>IFERROR(IFERROR('GHG Manure'!G89*INPUTS!I26*'GHG Manure'!D139,"")/INPUTS!D26,0)</f>
        <v>0</v>
      </c>
      <c r="I139" s="57" t="e">
        <f>(SUM(E139:F139))*INPUTS!D26</f>
        <v>#N/A</v>
      </c>
      <c r="J139" s="57">
        <f>(SUM(G139:H139))*INPUTS!D26</f>
        <v>0</v>
      </c>
      <c r="K139" s="52">
        <f>'GHG Parameters'!D$241</f>
        <v>0.01</v>
      </c>
      <c r="L139" s="68" t="e">
        <f t="shared" si="16"/>
        <v>#N/A</v>
      </c>
      <c r="M139" s="55">
        <f t="shared" si="17"/>
        <v>0</v>
      </c>
    </row>
    <row r="140" spans="1:13" s="904" customFormat="1">
      <c r="B140" s="154">
        <f>INPUTS!C27</f>
        <v>0</v>
      </c>
      <c r="C140" s="160">
        <f>VLOOKUP($C$129,'GHG Parameters'!$B$133:$C$137,2,FALSE)</f>
        <v>0.3</v>
      </c>
      <c r="D140" s="160">
        <f>VLOOKUP($D$129,'GHG Parameters'!$B$132:$C$133,2,FALSE)</f>
        <v>0.2</v>
      </c>
      <c r="E140" s="53" t="e">
        <f>'GHG Manure'!E68*INPUTS!H27*C140</f>
        <v>#N/A</v>
      </c>
      <c r="F140" s="53" t="e">
        <f>'GHG Manure'!E69*INPUTS!I27*D140</f>
        <v>#N/A</v>
      </c>
      <c r="G140" s="53" t="str">
        <f>IFERROR((('GHG Manure'!G90*INPUTS!H27)*'GHG Manure'!C140),"")</f>
        <v/>
      </c>
      <c r="H140" s="53">
        <f>IFERROR(IFERROR('GHG Manure'!G90*INPUTS!I27*'GHG Manure'!D140,"")/INPUTS!D27,0)</f>
        <v>0</v>
      </c>
      <c r="I140" s="57" t="e">
        <f>(SUM(E140:F140))*INPUTS!D27</f>
        <v>#N/A</v>
      </c>
      <c r="J140" s="57">
        <f>(SUM(G140:H140))*INPUTS!D27</f>
        <v>0</v>
      </c>
      <c r="K140" s="52">
        <f>'GHG Parameters'!D$241</f>
        <v>0.01</v>
      </c>
      <c r="L140" s="68" t="e">
        <f t="shared" si="16"/>
        <v>#N/A</v>
      </c>
      <c r="M140" s="55">
        <f t="shared" si="17"/>
        <v>0</v>
      </c>
    </row>
    <row r="141" spans="1:13" s="904" customFormat="1">
      <c r="B141" s="154">
        <f>INPUTS!C28</f>
        <v>0</v>
      </c>
      <c r="C141" s="160">
        <f>VLOOKUP($C$129,'GHG Parameters'!$B$133:$C$137,2,FALSE)</f>
        <v>0.3</v>
      </c>
      <c r="D141" s="160">
        <f>VLOOKUP($D$129,'GHG Parameters'!$B$132:$C$133,2,FALSE)</f>
        <v>0.2</v>
      </c>
      <c r="E141" s="53" t="e">
        <f>'GHG Manure'!E69*INPUTS!H28*C141</f>
        <v>#N/A</v>
      </c>
      <c r="F141" s="53" t="e">
        <f>'GHG Manure'!E70*INPUTS!I28*D141</f>
        <v>#N/A</v>
      </c>
      <c r="G141" s="53" t="str">
        <f>IFERROR((('GHG Manure'!G91*INPUTS!H28)*'GHG Manure'!C141),"")</f>
        <v/>
      </c>
      <c r="H141" s="53">
        <f>IFERROR(IFERROR('GHG Manure'!G91*INPUTS!I28*'GHG Manure'!D141,"")/INPUTS!D28,0)</f>
        <v>0</v>
      </c>
      <c r="I141" s="57" t="e">
        <f>(SUM(E141:F141))*INPUTS!D28</f>
        <v>#N/A</v>
      </c>
      <c r="J141" s="57">
        <f>(SUM(G141:H141))*INPUTS!D28</f>
        <v>0</v>
      </c>
      <c r="K141" s="52">
        <f>'GHG Parameters'!D$241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4">
        <f>INPUTS!C29</f>
        <v>0</v>
      </c>
      <c r="C142" s="160">
        <f>VLOOKUP($C$129,'GHG Parameters'!$B$133:$C$137,2,FALSE)</f>
        <v>0.3</v>
      </c>
      <c r="D142" s="160">
        <f>VLOOKUP($D$129,'GHG Parameters'!$B$132:$C$133,2,FALSE)</f>
        <v>0.2</v>
      </c>
      <c r="E142" s="53" t="e">
        <f>'GHG Manure'!E70*INPUTS!H29*C142</f>
        <v>#N/A</v>
      </c>
      <c r="F142" s="53" t="e">
        <f>'GHG Manure'!E71*INPUTS!I29*D142</f>
        <v>#N/A</v>
      </c>
      <c r="G142" s="53" t="str">
        <f>IFERROR((('GHG Manure'!G92*INPUTS!H29)*'GHG Manure'!C142),"")</f>
        <v/>
      </c>
      <c r="H142" s="53">
        <f>IFERROR(IFERROR('GHG Manure'!G92*INPUTS!I29*'GHG Manure'!D142,"")/INPUTS!D29,0)</f>
        <v>0</v>
      </c>
      <c r="I142" s="57" t="e">
        <f>(SUM(E142:F142))*INPUTS!D29</f>
        <v>#N/A</v>
      </c>
      <c r="J142" s="57">
        <f>(SUM(G142:H142))*INPUTS!D29</f>
        <v>0</v>
      </c>
      <c r="K142" s="52">
        <f>'GHG Parameters'!D$241</f>
        <v>0.01</v>
      </c>
      <c r="L142" s="68" t="e">
        <f t="shared" si="16"/>
        <v>#N/A</v>
      </c>
      <c r="M142" s="55">
        <f t="shared" si="17"/>
        <v>0</v>
      </c>
    </row>
    <row r="143" spans="1:13" s="987" customFormat="1">
      <c r="B143" s="154">
        <f>INPUTS!C30</f>
        <v>0</v>
      </c>
      <c r="C143" s="160">
        <f>VLOOKUP($C$129,'GHG Parameters'!$B$133:$C$137,2,FALSE)</f>
        <v>0.3</v>
      </c>
      <c r="D143" s="160">
        <f>VLOOKUP($D$129,'GHG Parameters'!$B$132:$C$133,2,FALSE)</f>
        <v>0.2</v>
      </c>
      <c r="E143" s="53" t="e">
        <f>'GHG Manure'!E71*INPUTS!H30*C143</f>
        <v>#N/A</v>
      </c>
      <c r="F143" s="53">
        <f>'GHG Manure'!E72*INPUTS!I30*D143</f>
        <v>0</v>
      </c>
      <c r="G143" s="53" t="str">
        <f>IFERROR((('GHG Manure'!G93*INPUTS!H30)*'GHG Manure'!C143),"")</f>
        <v/>
      </c>
      <c r="H143" s="53">
        <f>IFERROR(IFERROR('GHG Manure'!G93*INPUTS!I30*'GHG Manure'!D143,"")/INPUTS!D30,0)</f>
        <v>0</v>
      </c>
      <c r="I143" s="57" t="e">
        <f>(SUM(E143:F143))*INPUTS!D30</f>
        <v>#N/A</v>
      </c>
      <c r="J143" s="57">
        <f>(SUM(G143:H143))*INPUTS!D30</f>
        <v>0</v>
      </c>
      <c r="K143" s="52">
        <f>'GHG Parameters'!D$241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661" t="s">
        <v>124</v>
      </c>
      <c r="C144" s="1662"/>
      <c r="D144" s="1662"/>
      <c r="E144" s="1662"/>
      <c r="F144" s="1662"/>
      <c r="G144" s="1662"/>
      <c r="H144" s="1663"/>
      <c r="I144" s="47">
        <f>SUMIF(I130:I143,"&lt;&gt;#N/A")</f>
        <v>50.063399999999994</v>
      </c>
      <c r="J144" s="57">
        <f>SUM(J130:J143)</f>
        <v>0</v>
      </c>
      <c r="K144" s="62" t="s">
        <v>122</v>
      </c>
      <c r="L144" s="47">
        <f>SUMIF(L130:L143,"&lt;&gt;#N/A")</f>
        <v>0.78671057142857126</v>
      </c>
      <c r="M144" s="55">
        <f>SUM(M130:M143)</f>
        <v>0</v>
      </c>
    </row>
    <row r="145" spans="1:13">
      <c r="B145" s="822"/>
      <c r="C145" s="822"/>
      <c r="D145" s="822"/>
      <c r="E145" s="822"/>
      <c r="F145" s="822"/>
      <c r="G145" s="822"/>
      <c r="H145" s="822"/>
      <c r="I145" s="63"/>
    </row>
    <row r="146" spans="1:13">
      <c r="A146" s="37" t="s">
        <v>515</v>
      </c>
    </row>
    <row r="147" spans="1:13" ht="47.25">
      <c r="A147" t="s">
        <v>608</v>
      </c>
      <c r="J147" s="26" t="s">
        <v>497</v>
      </c>
      <c r="K147" s="10" t="s">
        <v>498</v>
      </c>
      <c r="L147" s="10"/>
      <c r="M147" s="10"/>
    </row>
    <row r="148" spans="1:13" ht="47.25">
      <c r="A148" s="1633" t="s">
        <v>492</v>
      </c>
      <c r="B148" s="46" t="s">
        <v>494</v>
      </c>
      <c r="C148" s="46" t="s">
        <v>493</v>
      </c>
      <c r="D148" s="1636" t="s">
        <v>495</v>
      </c>
      <c r="E148" s="1638"/>
      <c r="F148" s="88" t="s">
        <v>917</v>
      </c>
      <c r="G148" s="88" t="s">
        <v>918</v>
      </c>
      <c r="H148" s="1636" t="s">
        <v>496</v>
      </c>
      <c r="I148" s="1638"/>
      <c r="J148" s="26" t="s">
        <v>233</v>
      </c>
      <c r="K148" s="10"/>
      <c r="L148" s="10"/>
      <c r="M148" s="10"/>
    </row>
    <row r="149" spans="1:13">
      <c r="A149" s="1635"/>
      <c r="B149" s="46" t="s">
        <v>290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509</v>
      </c>
      <c r="K149" s="10"/>
      <c r="L149" s="10"/>
      <c r="M149" s="10"/>
    </row>
    <row r="150" spans="1:13" ht="31.5">
      <c r="A150" s="1669" t="s">
        <v>143</v>
      </c>
      <c r="B150" s="1679"/>
      <c r="C150" s="1676" t="s">
        <v>499</v>
      </c>
      <c r="D150" s="1636" t="s">
        <v>500</v>
      </c>
      <c r="E150" s="1638"/>
      <c r="F150" s="26" t="s">
        <v>502</v>
      </c>
      <c r="G150" s="26" t="s">
        <v>502</v>
      </c>
      <c r="H150" s="26" t="s">
        <v>506</v>
      </c>
      <c r="I150" s="26" t="s">
        <v>507</v>
      </c>
      <c r="J150" s="26" t="s">
        <v>508</v>
      </c>
      <c r="K150" s="10"/>
      <c r="L150" s="10"/>
      <c r="M150" s="10"/>
    </row>
    <row r="151" spans="1:13" s="10" customFormat="1">
      <c r="A151" s="1670"/>
      <c r="B151" s="1679"/>
      <c r="C151" s="1678"/>
      <c r="D151" s="75" t="s">
        <v>812</v>
      </c>
      <c r="E151" s="22" t="s">
        <v>813</v>
      </c>
      <c r="F151" s="26" t="s">
        <v>501</v>
      </c>
      <c r="G151" s="26" t="s">
        <v>501</v>
      </c>
      <c r="H151" s="26" t="s">
        <v>505</v>
      </c>
      <c r="I151" s="26" t="s">
        <v>505</v>
      </c>
      <c r="J151" s="26" t="s">
        <v>510</v>
      </c>
    </row>
    <row r="152" spans="1:13" s="10" customFormat="1">
      <c r="A152" s="1671"/>
      <c r="B152" s="93" t="s">
        <v>491</v>
      </c>
      <c r="C152" s="26" t="s">
        <v>489</v>
      </c>
      <c r="D152" s="26" t="str">
        <f>INPUTS!D33</f>
        <v>solid storage</v>
      </c>
      <c r="E152" s="26" t="str">
        <f>INPUTS!D34</f>
        <v xml:space="preserve">dry lot </v>
      </c>
      <c r="F152" s="26" t="s">
        <v>395</v>
      </c>
      <c r="G152" s="26" t="s">
        <v>395</v>
      </c>
      <c r="H152" s="26" t="str">
        <f>INPUTS!D33</f>
        <v>solid storage</v>
      </c>
      <c r="I152" s="26" t="str">
        <f>INPUTS!D34</f>
        <v xml:space="preserve">dry lot </v>
      </c>
      <c r="J152" s="45"/>
      <c r="K152"/>
      <c r="L152"/>
      <c r="M152"/>
    </row>
    <row r="153" spans="1:13" s="10" customFormat="1">
      <c r="A153" s="154" t="str">
        <f>INPUTS!C17</f>
        <v>Cows (improved)</v>
      </c>
      <c r="B153" s="45">
        <f>'GHG Manure'!E58</f>
        <v>83.438999999999993</v>
      </c>
      <c r="C153" s="45">
        <f>B153*INPUTS!D17</f>
        <v>166.87799999999999</v>
      </c>
      <c r="D153" s="45">
        <f>C153*INPUTS!H17</f>
        <v>166.87799999999999</v>
      </c>
      <c r="E153" s="45">
        <f>C153*INPUTS!I17</f>
        <v>0</v>
      </c>
      <c r="F153" s="45">
        <f>(INPUTS!J17*C153)</f>
        <v>0</v>
      </c>
      <c r="G153" s="45">
        <f>(INPUTS!K17*C153)</f>
        <v>0</v>
      </c>
      <c r="H153" s="45">
        <f>(D153*(1-C130)) *INPUTS!M17*INPUTS!Q17</f>
        <v>0</v>
      </c>
      <c r="I153" s="45">
        <f>(E153*(1-D130))*INPUTS!N17*INPUTS!Q17</f>
        <v>0</v>
      </c>
      <c r="J153" s="45">
        <f t="shared" ref="J153:J166" si="18">(H153+I153)-(I107*(28/44))</f>
        <v>-0.83438999999999997</v>
      </c>
      <c r="K153"/>
      <c r="L153"/>
      <c r="M153"/>
    </row>
    <row r="154" spans="1:13" s="10" customFormat="1">
      <c r="A154" s="154" t="str">
        <f>INPUTS!C18</f>
        <v>Steers/heifers</v>
      </c>
      <c r="B154" s="45">
        <f>'GHG Manure'!E59</f>
        <v>66.685500000000005</v>
      </c>
      <c r="C154" s="45">
        <f>B154*INPUTS!D18</f>
        <v>200.05650000000003</v>
      </c>
      <c r="D154" s="45">
        <f>C154*INPUTS!H18</f>
        <v>200.05650000000003</v>
      </c>
      <c r="E154" s="45">
        <f>C154*INPUTS!I18</f>
        <v>0</v>
      </c>
      <c r="F154" s="45">
        <f>(INPUTS!J18*C154)</f>
        <v>0</v>
      </c>
      <c r="G154" s="45">
        <f>(INPUTS!K18*C154)</f>
        <v>0</v>
      </c>
      <c r="H154" s="45">
        <f>(D154*(1-C131)) *INPUTS!M18*INPUTS!Q18</f>
        <v>126.03559500000001</v>
      </c>
      <c r="I154" s="45">
        <f>(E154*(1-D131))*INPUTS!N18*INPUTS!Q18</f>
        <v>0</v>
      </c>
      <c r="J154" s="45">
        <f t="shared" si="18"/>
        <v>125.03531250000002</v>
      </c>
      <c r="K154"/>
      <c r="L154"/>
      <c r="M154"/>
    </row>
    <row r="155" spans="1:13" s="10" customFormat="1">
      <c r="A155" s="154">
        <f>INPUTS!C19</f>
        <v>0</v>
      </c>
      <c r="B155" s="45" t="e">
        <f>'GHG Manure'!E60</f>
        <v>#N/A</v>
      </c>
      <c r="C155" s="45" t="e">
        <f>B155*INPUTS!D19</f>
        <v>#N/A</v>
      </c>
      <c r="D155" s="45" t="e">
        <f>C155*INPUTS!H19</f>
        <v>#N/A</v>
      </c>
      <c r="E155" s="45" t="e">
        <f>C155*INPUTS!I19</f>
        <v>#N/A</v>
      </c>
      <c r="F155" s="45" t="e">
        <f>(INPUTS!J19*C155)</f>
        <v>#N/A</v>
      </c>
      <c r="G155" s="45" t="e">
        <f>(INPUTS!K19*C155)</f>
        <v>#N/A</v>
      </c>
      <c r="H155" s="45" t="e">
        <f>(D155*(1-C132)) *INPUTS!M19*INPUTS!Q19</f>
        <v>#N/A</v>
      </c>
      <c r="I155" s="45" t="e">
        <f>(E155*(1-D132))*INPUTS!N19*INPUTS!Q19</f>
        <v>#N/A</v>
      </c>
      <c r="J155" s="45" t="e">
        <f t="shared" si="18"/>
        <v>#N/A</v>
      </c>
      <c r="K155"/>
      <c r="L155"/>
      <c r="M155"/>
    </row>
    <row r="156" spans="1:13">
      <c r="A156" s="154">
        <f>INPUTS!C20</f>
        <v>0</v>
      </c>
      <c r="B156" s="45" t="e">
        <f>'GHG Manure'!E61</f>
        <v>#N/A</v>
      </c>
      <c r="C156" s="45" t="e">
        <f>B156*INPUTS!D20</f>
        <v>#N/A</v>
      </c>
      <c r="D156" s="45" t="e">
        <f>C156*INPUTS!H20</f>
        <v>#N/A</v>
      </c>
      <c r="E156" s="45" t="e">
        <f>C156*INPUTS!I20</f>
        <v>#N/A</v>
      </c>
      <c r="F156" s="45" t="e">
        <f>(INPUTS!J20*C156)</f>
        <v>#N/A</v>
      </c>
      <c r="G156" s="45" t="e">
        <f>(INPUTS!K20*C156)</f>
        <v>#N/A</v>
      </c>
      <c r="H156" s="45" t="e">
        <f>(D156*(1-C133)) *INPUTS!M20*INPUTS!Q20</f>
        <v>#N/A</v>
      </c>
      <c r="I156" s="45" t="e">
        <f>(E156*(1-D133))*INPUTS!N20*INPUTS!Q20</f>
        <v>#N/A</v>
      </c>
      <c r="J156" s="45" t="e">
        <f t="shared" si="18"/>
        <v>#N/A</v>
      </c>
    </row>
    <row r="157" spans="1:13">
      <c r="A157" s="154">
        <f>INPUTS!C21</f>
        <v>0</v>
      </c>
      <c r="B157" s="45" t="e">
        <f>'GHG Manure'!E62</f>
        <v>#N/A</v>
      </c>
      <c r="C157" s="45" t="e">
        <f>B157*INPUTS!D21</f>
        <v>#N/A</v>
      </c>
      <c r="D157" s="45" t="e">
        <f>C157*INPUTS!H21</f>
        <v>#N/A</v>
      </c>
      <c r="E157" s="45" t="e">
        <f>C157*INPUTS!I21</f>
        <v>#N/A</v>
      </c>
      <c r="F157" s="45" t="e">
        <f>(INPUTS!J21*C157)</f>
        <v>#N/A</v>
      </c>
      <c r="G157" s="45" t="e">
        <f>(INPUTS!K21*C157)</f>
        <v>#N/A</v>
      </c>
      <c r="H157" s="45" t="e">
        <f>(D157*(1-C134)) *INPUTS!M21*INPUTS!Q21</f>
        <v>#N/A</v>
      </c>
      <c r="I157" s="45" t="e">
        <f>(E157*(1-D134))*INPUTS!N21*INPUTS!Q21</f>
        <v>#N/A</v>
      </c>
      <c r="J157" s="45" t="e">
        <f t="shared" si="18"/>
        <v>#N/A</v>
      </c>
    </row>
    <row r="158" spans="1:13">
      <c r="A158" s="154">
        <f>INPUTS!C22</f>
        <v>0</v>
      </c>
      <c r="B158" s="45" t="e">
        <f>'GHG Manure'!E63</f>
        <v>#N/A</v>
      </c>
      <c r="C158" s="45" t="e">
        <f>B158*INPUTS!D22</f>
        <v>#N/A</v>
      </c>
      <c r="D158" s="45" t="e">
        <f>C158*INPUTS!H22</f>
        <v>#N/A</v>
      </c>
      <c r="E158" s="45" t="e">
        <f>C158*INPUTS!I22</f>
        <v>#N/A</v>
      </c>
      <c r="F158" s="45" t="e">
        <f>(INPUTS!J22*C158)</f>
        <v>#N/A</v>
      </c>
      <c r="G158" s="45" t="e">
        <f>(INPUTS!K22*C158)</f>
        <v>#N/A</v>
      </c>
      <c r="H158" s="45" t="e">
        <f>(D158*(1-C135)) *INPUTS!M22*INPUTS!Q22</f>
        <v>#N/A</v>
      </c>
      <c r="I158" s="45" t="e">
        <f>(E158*(1-D135))*INPUTS!N22*INPUTS!Q22</f>
        <v>#N/A</v>
      </c>
      <c r="J158" s="45" t="e">
        <f t="shared" si="18"/>
        <v>#N/A</v>
      </c>
    </row>
    <row r="159" spans="1:13">
      <c r="A159" s="154">
        <f>INPUTS!C23</f>
        <v>0</v>
      </c>
      <c r="B159" s="45" t="e">
        <f>'GHG Manure'!E64</f>
        <v>#N/A</v>
      </c>
      <c r="C159" s="45" t="e">
        <f>B159*INPUTS!D23</f>
        <v>#N/A</v>
      </c>
      <c r="D159" s="45" t="e">
        <f>C159*INPUTS!H23</f>
        <v>#N/A</v>
      </c>
      <c r="E159" s="45" t="e">
        <f>C159*INPUTS!I23</f>
        <v>#N/A</v>
      </c>
      <c r="F159" s="45" t="e">
        <f>(INPUTS!J23*C159)</f>
        <v>#N/A</v>
      </c>
      <c r="G159" s="45" t="e">
        <f>(INPUTS!K23*C159)</f>
        <v>#N/A</v>
      </c>
      <c r="H159" s="45" t="e">
        <f>(D159*(1-C136)) *INPUTS!M23*INPUTS!Q23</f>
        <v>#N/A</v>
      </c>
      <c r="I159" s="45" t="e">
        <f>(E159*(1-D136))*INPUTS!N23*INPUTS!Q23</f>
        <v>#N/A</v>
      </c>
      <c r="J159" s="45" t="e">
        <f t="shared" si="18"/>
        <v>#N/A</v>
      </c>
    </row>
    <row r="160" spans="1:13" s="962" customFormat="1">
      <c r="A160" s="154">
        <f>INPUTS!C24</f>
        <v>0</v>
      </c>
      <c r="B160" s="45" t="e">
        <f>'GHG Manure'!E65</f>
        <v>#N/A</v>
      </c>
      <c r="C160" s="45" t="e">
        <f>B160*INPUTS!D24</f>
        <v>#N/A</v>
      </c>
      <c r="D160" s="45" t="e">
        <f>C160*INPUTS!H24</f>
        <v>#N/A</v>
      </c>
      <c r="E160" s="45" t="e">
        <f>C160*INPUTS!I24</f>
        <v>#N/A</v>
      </c>
      <c r="F160" s="45" t="e">
        <f>(INPUTS!J24*C160)</f>
        <v>#N/A</v>
      </c>
      <c r="G160" s="45" t="e">
        <f>(INPUTS!K24*C160)</f>
        <v>#N/A</v>
      </c>
      <c r="H160" s="45" t="e">
        <f>(D160*(1-C137)) *INPUTS!M24*INPUTS!Q24</f>
        <v>#N/A</v>
      </c>
      <c r="I160" s="45" t="e">
        <f>(E160*(1-D137))*INPUTS!N24*INPUTS!Q24</f>
        <v>#N/A</v>
      </c>
      <c r="J160" s="45" t="e">
        <f t="shared" si="18"/>
        <v>#N/A</v>
      </c>
    </row>
    <row r="161" spans="1:13" s="962" customFormat="1">
      <c r="A161" s="154">
        <f>INPUTS!C25</f>
        <v>0</v>
      </c>
      <c r="B161" s="45" t="e">
        <f>'GHG Manure'!E66</f>
        <v>#N/A</v>
      </c>
      <c r="C161" s="45" t="e">
        <f>B161*INPUTS!D25</f>
        <v>#N/A</v>
      </c>
      <c r="D161" s="45" t="e">
        <f>C161*INPUTS!H25</f>
        <v>#N/A</v>
      </c>
      <c r="E161" s="45" t="e">
        <f>C161*INPUTS!I25</f>
        <v>#N/A</v>
      </c>
      <c r="F161" s="45" t="e">
        <f>(INPUTS!J25*C161)</f>
        <v>#N/A</v>
      </c>
      <c r="G161" s="45" t="e">
        <f>(INPUTS!K25*C161)</f>
        <v>#N/A</v>
      </c>
      <c r="H161" s="45" t="e">
        <f>(D161*(1-C138)) *INPUTS!M25*INPUTS!Q25</f>
        <v>#N/A</v>
      </c>
      <c r="I161" s="45" t="e">
        <f>(E161*(1-D138))*INPUTS!N25*INPUTS!Q25</f>
        <v>#N/A</v>
      </c>
      <c r="J161" s="45" t="e">
        <f t="shared" si="18"/>
        <v>#N/A</v>
      </c>
    </row>
    <row r="162" spans="1:13" s="962" customFormat="1">
      <c r="A162" s="154">
        <f>INPUTS!C26</f>
        <v>0</v>
      </c>
      <c r="B162" s="45" t="e">
        <f>'GHG Manure'!E67</f>
        <v>#N/A</v>
      </c>
      <c r="C162" s="45" t="e">
        <f>B162*INPUTS!D26</f>
        <v>#N/A</v>
      </c>
      <c r="D162" s="45" t="e">
        <f>C162*INPUTS!H26</f>
        <v>#N/A</v>
      </c>
      <c r="E162" s="45" t="e">
        <f>C162*INPUTS!I26</f>
        <v>#N/A</v>
      </c>
      <c r="F162" s="45" t="e">
        <f>(INPUTS!J26*C162)</f>
        <v>#N/A</v>
      </c>
      <c r="G162" s="45" t="e">
        <f>(INPUTS!K26*C162)</f>
        <v>#N/A</v>
      </c>
      <c r="H162" s="45" t="e">
        <f>(D162*(1-C139)) *INPUTS!M26*INPUTS!Q26</f>
        <v>#N/A</v>
      </c>
      <c r="I162" s="45" t="e">
        <f>(E162*(1-D139))*INPUTS!N26*INPUTS!Q26</f>
        <v>#N/A</v>
      </c>
      <c r="J162" s="45" t="e">
        <f t="shared" si="18"/>
        <v>#N/A</v>
      </c>
    </row>
    <row r="163" spans="1:13" s="962" customFormat="1">
      <c r="A163" s="154">
        <f>INPUTS!C27</f>
        <v>0</v>
      </c>
      <c r="B163" s="45" t="e">
        <f>'GHG Manure'!E68</f>
        <v>#N/A</v>
      </c>
      <c r="C163" s="45" t="e">
        <f>B163*INPUTS!D27</f>
        <v>#N/A</v>
      </c>
      <c r="D163" s="45" t="e">
        <f>C163*INPUTS!H27</f>
        <v>#N/A</v>
      </c>
      <c r="E163" s="45" t="e">
        <f>C163*INPUTS!I27</f>
        <v>#N/A</v>
      </c>
      <c r="F163" s="45" t="e">
        <f>(INPUTS!J27*C163)</f>
        <v>#N/A</v>
      </c>
      <c r="G163" s="45" t="e">
        <f>(INPUTS!K27*C163)</f>
        <v>#N/A</v>
      </c>
      <c r="H163" s="45" t="e">
        <f>(D163*(1-C140)) *INPUTS!M27*INPUTS!Q27</f>
        <v>#N/A</v>
      </c>
      <c r="I163" s="45" t="e">
        <f>(E163*(1-D140))*INPUTS!N27*INPUTS!Q27</f>
        <v>#N/A</v>
      </c>
      <c r="J163" s="45" t="e">
        <f t="shared" si="18"/>
        <v>#N/A</v>
      </c>
    </row>
    <row r="164" spans="1:13">
      <c r="A164" s="154">
        <f>INPUTS!C28</f>
        <v>0</v>
      </c>
      <c r="B164" s="45" t="e">
        <f>'GHG Manure'!E69</f>
        <v>#N/A</v>
      </c>
      <c r="C164" s="45" t="e">
        <f>B164*INPUTS!D28</f>
        <v>#N/A</v>
      </c>
      <c r="D164" s="45" t="e">
        <f>C164*INPUTS!H28</f>
        <v>#N/A</v>
      </c>
      <c r="E164" s="45" t="e">
        <f>C164*INPUTS!I28</f>
        <v>#N/A</v>
      </c>
      <c r="F164" s="45" t="e">
        <f>(INPUTS!J28*C164)</f>
        <v>#N/A</v>
      </c>
      <c r="G164" s="45" t="e">
        <f>(INPUTS!K28*C164)</f>
        <v>#N/A</v>
      </c>
      <c r="H164" s="45" t="e">
        <f>(D164*(1-C141)) *INPUTS!M28*INPUTS!Q28</f>
        <v>#N/A</v>
      </c>
      <c r="I164" s="45" t="e">
        <f>(E164*(1-D141))*INPUTS!N28*INPUTS!Q28</f>
        <v>#N/A</v>
      </c>
      <c r="J164" s="45" t="e">
        <f t="shared" si="18"/>
        <v>#N/A</v>
      </c>
    </row>
    <row r="165" spans="1:13" s="896" customFormat="1">
      <c r="A165" s="154">
        <f>INPUTS!C29</f>
        <v>0</v>
      </c>
      <c r="B165" s="45" t="e">
        <f>'GHG Manure'!E70</f>
        <v>#N/A</v>
      </c>
      <c r="C165" s="45" t="e">
        <f>B165*INPUTS!D29</f>
        <v>#N/A</v>
      </c>
      <c r="D165" s="45" t="e">
        <f>C165*INPUTS!H29</f>
        <v>#N/A</v>
      </c>
      <c r="E165" s="45" t="e">
        <f>C165*INPUTS!I29</f>
        <v>#N/A</v>
      </c>
      <c r="F165" s="45" t="e">
        <f>(INPUTS!J29*C165)</f>
        <v>#N/A</v>
      </c>
      <c r="G165" s="45" t="e">
        <f>(INPUTS!K29*C165)</f>
        <v>#N/A</v>
      </c>
      <c r="H165" s="45" t="e">
        <f>(D165*(1-C142)) *INPUTS!M29*INPUTS!Q29</f>
        <v>#N/A</v>
      </c>
      <c r="I165" s="45" t="e">
        <f>(E165*(1-D142))*INPUTS!N29*INPUTS!Q29</f>
        <v>#N/A</v>
      </c>
      <c r="J165" s="45" t="e">
        <f t="shared" si="18"/>
        <v>#N/A</v>
      </c>
    </row>
    <row r="166" spans="1:13">
      <c r="A166" s="154">
        <f>INPUTS!C30</f>
        <v>0</v>
      </c>
      <c r="B166" s="45" t="e">
        <f>'GHG Manure'!E71</f>
        <v>#N/A</v>
      </c>
      <c r="C166" s="45" t="e">
        <f>B166*INPUTS!D30</f>
        <v>#N/A</v>
      </c>
      <c r="D166" s="45" t="e">
        <f>C166*INPUTS!H30</f>
        <v>#N/A</v>
      </c>
      <c r="E166" s="45" t="e">
        <f>C166*INPUTS!I30</f>
        <v>#N/A</v>
      </c>
      <c r="F166" s="45" t="e">
        <f>(INPUTS!J30*C166)</f>
        <v>#N/A</v>
      </c>
      <c r="G166" s="45" t="e">
        <f>(INPUTS!K30*C166)</f>
        <v>#N/A</v>
      </c>
      <c r="H166" s="45" t="e">
        <f>(D166*(1-C143)) *INPUTS!M30*INPUTS!Q30</f>
        <v>#N/A</v>
      </c>
      <c r="I166" s="45" t="e">
        <f>(E166*(1-D143))*INPUTS!N30*INPUTS!Q30</f>
        <v>#N/A</v>
      </c>
      <c r="J166" s="45" t="e">
        <f t="shared" si="18"/>
        <v>#N/A</v>
      </c>
    </row>
    <row r="167" spans="1:13">
      <c r="A167" s="26" t="s">
        <v>253</v>
      </c>
      <c r="B167" s="994">
        <f t="shared" ref="B167:J167" si="19">SUMIF(B153:B166,"&lt;&gt;#N/A")</f>
        <v>150.12450000000001</v>
      </c>
      <c r="C167" s="994">
        <f t="shared" si="19"/>
        <v>366.93450000000001</v>
      </c>
      <c r="D167" s="994">
        <f t="shared" si="19"/>
        <v>366.93450000000001</v>
      </c>
      <c r="E167" s="994">
        <f t="shared" si="19"/>
        <v>0</v>
      </c>
      <c r="F167" s="994">
        <f t="shared" si="19"/>
        <v>0</v>
      </c>
      <c r="G167" s="994">
        <f t="shared" si="19"/>
        <v>0</v>
      </c>
      <c r="H167" s="994">
        <f t="shared" si="19"/>
        <v>126.03559500000001</v>
      </c>
      <c r="I167" s="994">
        <f t="shared" si="19"/>
        <v>0</v>
      </c>
      <c r="J167" s="994">
        <f t="shared" si="19"/>
        <v>124.20092250000002</v>
      </c>
    </row>
    <row r="170" spans="1:13">
      <c r="A170" s="37" t="s">
        <v>515</v>
      </c>
    </row>
    <row r="171" spans="1:13" ht="47.25">
      <c r="A171" t="s">
        <v>607</v>
      </c>
      <c r="J171" s="26" t="s">
        <v>635</v>
      </c>
      <c r="K171" s="10" t="s">
        <v>498</v>
      </c>
      <c r="L171" s="10"/>
      <c r="M171" s="10"/>
    </row>
    <row r="172" spans="1:13" ht="47.25">
      <c r="A172" s="1633" t="s">
        <v>492</v>
      </c>
      <c r="B172" s="46" t="s">
        <v>511</v>
      </c>
      <c r="C172" s="46" t="s">
        <v>512</v>
      </c>
      <c r="D172" s="1636" t="s">
        <v>495</v>
      </c>
      <c r="E172" s="1638"/>
      <c r="F172" s="88" t="s">
        <v>917</v>
      </c>
      <c r="G172" s="88" t="s">
        <v>918</v>
      </c>
      <c r="H172" s="1636" t="s">
        <v>496</v>
      </c>
      <c r="I172" s="1638"/>
      <c r="J172" s="26" t="s">
        <v>233</v>
      </c>
      <c r="K172" s="10"/>
      <c r="L172" s="10"/>
      <c r="M172" s="10"/>
    </row>
    <row r="173" spans="1:13">
      <c r="A173" s="1635"/>
      <c r="B173" s="46" t="s">
        <v>1320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509</v>
      </c>
      <c r="K173" s="10"/>
      <c r="L173" s="10"/>
      <c r="M173" s="10"/>
    </row>
    <row r="174" spans="1:13" ht="31.5">
      <c r="A174" s="1676" t="s">
        <v>143</v>
      </c>
      <c r="B174" s="1679" t="s">
        <v>514</v>
      </c>
      <c r="C174" s="1676" t="s">
        <v>513</v>
      </c>
      <c r="D174" s="1636" t="s">
        <v>500</v>
      </c>
      <c r="E174" s="1638"/>
      <c r="F174" s="26" t="s">
        <v>502</v>
      </c>
      <c r="G174" s="26" t="s">
        <v>502</v>
      </c>
      <c r="H174" s="26" t="s">
        <v>506</v>
      </c>
      <c r="I174" s="26" t="s">
        <v>507</v>
      </c>
      <c r="J174" s="26" t="s">
        <v>508</v>
      </c>
      <c r="K174" s="10"/>
      <c r="L174" s="10"/>
      <c r="M174" s="10"/>
    </row>
    <row r="175" spans="1:13" s="10" customFormat="1">
      <c r="A175" s="1677"/>
      <c r="B175" s="1679"/>
      <c r="C175" s="1678"/>
      <c r="D175" s="75" t="s">
        <v>503</v>
      </c>
      <c r="E175" s="22" t="s">
        <v>504</v>
      </c>
      <c r="F175" s="26" t="s">
        <v>501</v>
      </c>
      <c r="G175" s="26" t="s">
        <v>501</v>
      </c>
      <c r="H175" s="26" t="s">
        <v>505</v>
      </c>
      <c r="I175" s="26" t="s">
        <v>505</v>
      </c>
      <c r="J175" s="26" t="s">
        <v>510</v>
      </c>
    </row>
    <row r="176" spans="1:13" s="10" customFormat="1">
      <c r="A176" s="1678"/>
      <c r="B176" s="93" t="s">
        <v>490</v>
      </c>
      <c r="C176" s="26" t="s">
        <v>489</v>
      </c>
      <c r="D176" s="26" t="str">
        <f>INPUTS!D33</f>
        <v>solid storage</v>
      </c>
      <c r="E176" s="26" t="str">
        <f>INPUTS!D34</f>
        <v xml:space="preserve">dry lot </v>
      </c>
      <c r="F176" s="26" t="s">
        <v>395</v>
      </c>
      <c r="G176" s="26" t="s">
        <v>395</v>
      </c>
      <c r="H176" s="26" t="str">
        <f>INPUTS!D33</f>
        <v>solid storage</v>
      </c>
      <c r="I176" s="26" t="str">
        <f>INPUTS!D34</f>
        <v xml:space="preserve">dry lot </v>
      </c>
      <c r="J176" s="76"/>
    </row>
    <row r="177" spans="1:13" s="10" customFormat="1">
      <c r="A177" s="154" t="str">
        <f>INPUTS!C17</f>
        <v>Cows (improved)</v>
      </c>
      <c r="B177" s="53" t="str">
        <f>'GHG Manure'!G80</f>
        <v/>
      </c>
      <c r="C177" s="76" t="str">
        <f t="shared" ref="C177" si="20">IFERROR(B177,"")</f>
        <v/>
      </c>
      <c r="D177" s="53" t="str">
        <f>IFERROR(C177*INPUTS!H17,"")</f>
        <v/>
      </c>
      <c r="E177" s="53" t="str">
        <f>IFERROR(C177*INPUTS!I17,"")</f>
        <v/>
      </c>
      <c r="F177" s="53" t="str">
        <f>IFERROR(INPUTS!J17*C177,"")</f>
        <v/>
      </c>
      <c r="G177" s="53" t="str">
        <f>IFERROR(INPUTS!K17*C177,"")</f>
        <v/>
      </c>
      <c r="H177" s="53" t="str">
        <f>IFERROR(((D177*(1-C130))*INPUTS!M17*INPUTS!Q17),"")</f>
        <v/>
      </c>
      <c r="I177" s="53" t="str">
        <f>IFERROR(((E177*(1-D130))*INPUTS!N17*INPUTS!Q17),"")</f>
        <v/>
      </c>
      <c r="J177" s="76" t="str">
        <f>IFERROR(((H177+I177)-(J107*(28/44))),"")</f>
        <v/>
      </c>
      <c r="K177"/>
      <c r="L177"/>
      <c r="M177"/>
    </row>
    <row r="178" spans="1:13" s="10" customFormat="1">
      <c r="A178" s="154" t="str">
        <f>INPUTS!C18</f>
        <v>Steers/heifers</v>
      </c>
      <c r="B178" s="53" t="str">
        <f>'GHG Manure'!G81</f>
        <v/>
      </c>
      <c r="C178" s="76" t="str">
        <f t="shared" ref="C178:C190" si="21">IFERROR(B178,"")</f>
        <v/>
      </c>
      <c r="D178" s="53" t="str">
        <f>IFERROR(C178*INPUTS!H18,"")</f>
        <v/>
      </c>
      <c r="E178" s="53" t="str">
        <f>IFERROR(C178*INPUTS!I18,"")</f>
        <v/>
      </c>
      <c r="F178" s="53" t="str">
        <f>IFERROR(INPUTS!J18*C178,"")</f>
        <v/>
      </c>
      <c r="G178" s="53" t="str">
        <f>IFERROR(INPUTS!K18*C178,"")</f>
        <v/>
      </c>
      <c r="H178" s="53" t="str">
        <f>IFERROR(((D178*(1-C131))*INPUTS!M18*INPUTS!Q18),"")</f>
        <v/>
      </c>
      <c r="I178" s="53" t="str">
        <f>IFERROR(((E178*(1-D131))*INPUTS!N18*INPUTS!Q18),"")</f>
        <v/>
      </c>
      <c r="J178" s="76" t="str">
        <f t="shared" ref="J178:J190" si="22">IFERROR(((H178+I178)-(J108*(28/44))),"")</f>
        <v/>
      </c>
      <c r="K178"/>
      <c r="L178"/>
      <c r="M178"/>
    </row>
    <row r="179" spans="1:13" s="10" customFormat="1">
      <c r="A179" s="154">
        <f>INPUTS!C19</f>
        <v>0</v>
      </c>
      <c r="B179" s="53" t="str">
        <f>'GHG Manure'!G82</f>
        <v/>
      </c>
      <c r="C179" s="76" t="str">
        <f t="shared" si="21"/>
        <v/>
      </c>
      <c r="D179" s="53" t="str">
        <f>IFERROR(C179*INPUTS!H19,"")</f>
        <v/>
      </c>
      <c r="E179" s="53" t="str">
        <f>IFERROR(C179*INPUTS!I19,"")</f>
        <v/>
      </c>
      <c r="F179" s="53" t="str">
        <f>IFERROR(INPUTS!J19*C179,"")</f>
        <v/>
      </c>
      <c r="G179" s="53" t="str">
        <f>IFERROR(INPUTS!K19*C179,"")</f>
        <v/>
      </c>
      <c r="H179" s="53" t="str">
        <f>IFERROR(((D179*(1-C132))*INPUTS!M19*INPUTS!Q19),"")</f>
        <v/>
      </c>
      <c r="I179" s="53" t="str">
        <f>IFERROR(((E179*(1-D132))*INPUTS!N19*INPUTS!Q19),"")</f>
        <v/>
      </c>
      <c r="J179" s="76" t="str">
        <f t="shared" si="22"/>
        <v/>
      </c>
      <c r="K179"/>
      <c r="L179"/>
      <c r="M179"/>
    </row>
    <row r="180" spans="1:13" s="10" customFormat="1">
      <c r="A180" s="154">
        <f>INPUTS!C20</f>
        <v>0</v>
      </c>
      <c r="B180" s="53" t="str">
        <f>'GHG Manure'!G83</f>
        <v/>
      </c>
      <c r="C180" s="76" t="str">
        <f t="shared" si="21"/>
        <v/>
      </c>
      <c r="D180" s="53" t="str">
        <f>IFERROR(C180*INPUTS!H20,"")</f>
        <v/>
      </c>
      <c r="E180" s="53" t="str">
        <f>IFERROR(C180*INPUTS!I20,"")</f>
        <v/>
      </c>
      <c r="F180" s="53" t="str">
        <f>IFERROR(INPUTS!J20*C180,"")</f>
        <v/>
      </c>
      <c r="G180" s="53" t="str">
        <f>IFERROR(INPUTS!K20*C180,"")</f>
        <v/>
      </c>
      <c r="H180" s="53" t="str">
        <f>IFERROR(((D180*(1-C133))*INPUTS!M20*INPUTS!Q20),"")</f>
        <v/>
      </c>
      <c r="I180" s="53" t="str">
        <f>IFERROR(((E180*(1-D133))*INPUTS!N20*INPUTS!Q20),"")</f>
        <v/>
      </c>
      <c r="J180" s="76" t="str">
        <f t="shared" si="22"/>
        <v/>
      </c>
      <c r="K180" s="12" t="s">
        <v>410</v>
      </c>
      <c r="L180"/>
      <c r="M180"/>
    </row>
    <row r="181" spans="1:13">
      <c r="A181" s="154">
        <f>INPUTS!C21</f>
        <v>0</v>
      </c>
      <c r="B181" s="53" t="str">
        <f>'GHG Manure'!G84</f>
        <v/>
      </c>
      <c r="C181" s="76" t="str">
        <f t="shared" si="21"/>
        <v/>
      </c>
      <c r="D181" s="53" t="str">
        <f>IFERROR(C181*INPUTS!H21,"")</f>
        <v/>
      </c>
      <c r="E181" s="53" t="str">
        <f>IFERROR(C181*INPUTS!I21,"")</f>
        <v/>
      </c>
      <c r="F181" s="53" t="str">
        <f>IFERROR(INPUTS!J21*C181,"")</f>
        <v/>
      </c>
      <c r="G181" s="53" t="str">
        <f>IFERROR(INPUTS!K21*C181,"")</f>
        <v/>
      </c>
      <c r="H181" s="53" t="str">
        <f>IFERROR(((D181*(1-C134))*INPUTS!M21*INPUTS!Q21),"")</f>
        <v/>
      </c>
      <c r="I181" s="53" t="str">
        <f>IFERROR(((E181*(1-D134))*INPUTS!N21*INPUTS!Q21),"")</f>
        <v/>
      </c>
      <c r="J181" s="76" t="str">
        <f t="shared" si="22"/>
        <v/>
      </c>
      <c r="K181" s="12"/>
    </row>
    <row r="182" spans="1:13">
      <c r="A182" s="154">
        <f>INPUTS!C22</f>
        <v>0</v>
      </c>
      <c r="B182" s="53" t="str">
        <f>'GHG Manure'!G85</f>
        <v/>
      </c>
      <c r="C182" s="76" t="str">
        <f t="shared" si="21"/>
        <v/>
      </c>
      <c r="D182" s="53" t="str">
        <f>IFERROR(C182*INPUTS!H22,"")</f>
        <v/>
      </c>
      <c r="E182" s="53" t="str">
        <f>IFERROR(C182*INPUTS!I22,"")</f>
        <v/>
      </c>
      <c r="F182" s="53" t="str">
        <f>IFERROR(INPUTS!J22*C182,"")</f>
        <v/>
      </c>
      <c r="G182" s="53" t="str">
        <f>IFERROR(INPUTS!K22*C182,"")</f>
        <v/>
      </c>
      <c r="H182" s="53" t="str">
        <f>IFERROR(((D182*(1-C135))*INPUTS!M22*INPUTS!Q22),"")</f>
        <v/>
      </c>
      <c r="I182" s="53" t="str">
        <f>IFERROR(((E182*(1-D135))*INPUTS!N22*INPUTS!Q22),"")</f>
        <v/>
      </c>
      <c r="J182" s="76" t="str">
        <f t="shared" si="22"/>
        <v/>
      </c>
      <c r="K182" s="176" t="e">
        <f>J158</f>
        <v>#N/A</v>
      </c>
      <c r="L182" s="175"/>
      <c r="M182" s="175"/>
    </row>
    <row r="183" spans="1:13">
      <c r="A183" s="154">
        <f>INPUTS!C23</f>
        <v>0</v>
      </c>
      <c r="B183" s="53" t="str">
        <f>'GHG Manure'!G86</f>
        <v/>
      </c>
      <c r="C183" s="76" t="str">
        <f t="shared" si="21"/>
        <v/>
      </c>
      <c r="D183" s="53" t="str">
        <f>IFERROR(C183*INPUTS!H23,"")</f>
        <v/>
      </c>
      <c r="E183" s="53" t="str">
        <f>IFERROR(C183*INPUTS!I23,"")</f>
        <v/>
      </c>
      <c r="F183" s="53" t="str">
        <f>IFERROR(INPUTS!J23*C183,"")</f>
        <v/>
      </c>
      <c r="G183" s="53" t="str">
        <f>IFERROR(INPUTS!K23*C183,"")</f>
        <v/>
      </c>
      <c r="H183" s="53" t="str">
        <f>IFERROR(((D183*(1-C136))*INPUTS!M23*INPUTS!Q23),"")</f>
        <v/>
      </c>
      <c r="I183" s="53" t="str">
        <f>IFERROR(((E183*(1-D136))*INPUTS!N23*INPUTS!Q23),"")</f>
        <v/>
      </c>
      <c r="J183" s="76" t="str">
        <f t="shared" si="22"/>
        <v/>
      </c>
      <c r="K183" s="176" t="e">
        <f>J159</f>
        <v>#N/A</v>
      </c>
      <c r="L183" s="175"/>
      <c r="M183" s="175"/>
    </row>
    <row r="184" spans="1:13">
      <c r="A184" s="154">
        <f>INPUTS!C24</f>
        <v>0</v>
      </c>
      <c r="B184" s="53" t="str">
        <f>'GHG Manure'!G87</f>
        <v/>
      </c>
      <c r="C184" s="76" t="str">
        <f t="shared" si="21"/>
        <v/>
      </c>
      <c r="D184" s="53" t="str">
        <f>IFERROR(C184*INPUTS!H24,"")</f>
        <v/>
      </c>
      <c r="E184" s="53" t="str">
        <f>IFERROR(C184*INPUTS!I24,"")</f>
        <v/>
      </c>
      <c r="F184" s="53" t="str">
        <f>IFERROR(INPUTS!J24*C184,"")</f>
        <v/>
      </c>
      <c r="G184" s="53" t="str">
        <f>IFERROR(INPUTS!K24*C184,"")</f>
        <v/>
      </c>
      <c r="H184" s="53" t="str">
        <f>IFERROR(((D184*(1-C137))*INPUTS!M24*INPUTS!Q24),"")</f>
        <v/>
      </c>
      <c r="I184" s="53" t="str">
        <f>IFERROR(((E184*(1-D137))*INPUTS!N24*INPUTS!Q24),"")</f>
        <v/>
      </c>
      <c r="J184" s="76" t="str">
        <f t="shared" si="22"/>
        <v/>
      </c>
      <c r="K184" s="176" t="e">
        <f>J164</f>
        <v>#N/A</v>
      </c>
      <c r="L184" s="175"/>
      <c r="M184" s="175"/>
    </row>
    <row r="185" spans="1:13" s="896" customFormat="1">
      <c r="A185" s="154">
        <f>INPUTS!C25</f>
        <v>0</v>
      </c>
      <c r="B185" s="53" t="str">
        <f>'GHG Manure'!G88</f>
        <v/>
      </c>
      <c r="C185" s="76" t="str">
        <f t="shared" si="21"/>
        <v/>
      </c>
      <c r="D185" s="53" t="str">
        <f>IFERROR(C185*INPUTS!H25,"")</f>
        <v/>
      </c>
      <c r="E185" s="53" t="str">
        <f>IFERROR(C185*INPUTS!I25,"")</f>
        <v/>
      </c>
      <c r="F185" s="53" t="str">
        <f>IFERROR(INPUTS!J25*C185,"")</f>
        <v/>
      </c>
      <c r="G185" s="53" t="str">
        <f>IFERROR(INPUTS!K25*C185,"")</f>
        <v/>
      </c>
      <c r="H185" s="53" t="str">
        <f>IFERROR(((D185*(1-C138))*INPUTS!M25*INPUTS!Q25),"")</f>
        <v/>
      </c>
      <c r="I185" s="53" t="str">
        <f>IFERROR(((E185*(1-D138))*INPUTS!N25*INPUTS!Q25),"")</f>
        <v/>
      </c>
      <c r="J185" s="76" t="str">
        <f t="shared" si="22"/>
        <v/>
      </c>
      <c r="K185" s="176"/>
      <c r="L185" s="175"/>
      <c r="M185" s="175"/>
    </row>
    <row r="186" spans="1:13" s="962" customFormat="1">
      <c r="A186" s="154">
        <f>INPUTS!C26</f>
        <v>0</v>
      </c>
      <c r="B186" s="53" t="str">
        <f>'GHG Manure'!G89</f>
        <v/>
      </c>
      <c r="C186" s="76" t="str">
        <f t="shared" si="21"/>
        <v/>
      </c>
      <c r="D186" s="53" t="str">
        <f>IFERROR(C186*INPUTS!H26,"")</f>
        <v/>
      </c>
      <c r="E186" s="53" t="str">
        <f>IFERROR(C186*INPUTS!I26,"")</f>
        <v/>
      </c>
      <c r="F186" s="53" t="str">
        <f>IFERROR(INPUTS!J26*C186,"")</f>
        <v/>
      </c>
      <c r="G186" s="53" t="str">
        <f>IFERROR(INPUTS!K26*C186,"")</f>
        <v/>
      </c>
      <c r="H186" s="53" t="str">
        <f>IFERROR(((D186*(1-C139))*INPUTS!M26*INPUTS!Q26),"")</f>
        <v/>
      </c>
      <c r="I186" s="53" t="str">
        <f>IFERROR(((E186*(1-D139))*INPUTS!N26*INPUTS!Q26),"")</f>
        <v/>
      </c>
      <c r="J186" s="76" t="str">
        <f t="shared" si="22"/>
        <v/>
      </c>
      <c r="K186" s="176"/>
      <c r="L186" s="175"/>
      <c r="M186" s="175"/>
    </row>
    <row r="187" spans="1:13" s="962" customFormat="1">
      <c r="A187" s="154">
        <f>INPUTS!C27</f>
        <v>0</v>
      </c>
      <c r="B187" s="53" t="str">
        <f>'GHG Manure'!G90</f>
        <v/>
      </c>
      <c r="C187" s="76" t="str">
        <f t="shared" si="21"/>
        <v/>
      </c>
      <c r="D187" s="53" t="str">
        <f>IFERROR(C187*INPUTS!H27,"")</f>
        <v/>
      </c>
      <c r="E187" s="53" t="str">
        <f>IFERROR(C187*INPUTS!I27,"")</f>
        <v/>
      </c>
      <c r="F187" s="53" t="str">
        <f>IFERROR(INPUTS!J27*C187,"")</f>
        <v/>
      </c>
      <c r="G187" s="53" t="str">
        <f>IFERROR(INPUTS!K27*C187,"")</f>
        <v/>
      </c>
      <c r="H187" s="53" t="str">
        <f>IFERROR(((D187*(1-C140))*INPUTS!M27*INPUTS!Q27),"")</f>
        <v/>
      </c>
      <c r="I187" s="53" t="str">
        <f>IFERROR(((E187*(1-D140))*INPUTS!N27*INPUTS!Q27),"")</f>
        <v/>
      </c>
      <c r="J187" s="76" t="str">
        <f t="shared" si="22"/>
        <v/>
      </c>
      <c r="K187" s="176"/>
      <c r="L187" s="175"/>
      <c r="M187" s="175"/>
    </row>
    <row r="188" spans="1:13" s="904" customFormat="1">
      <c r="A188" s="154">
        <f>INPUTS!C28</f>
        <v>0</v>
      </c>
      <c r="B188" s="53" t="str">
        <f>'GHG Manure'!G91</f>
        <v/>
      </c>
      <c r="C188" s="76" t="str">
        <f t="shared" si="21"/>
        <v/>
      </c>
      <c r="D188" s="53" t="str">
        <f>IFERROR(C188*INPUTS!H28,"")</f>
        <v/>
      </c>
      <c r="E188" s="53" t="str">
        <f>IFERROR(C188*INPUTS!I28,"")</f>
        <v/>
      </c>
      <c r="F188" s="53" t="str">
        <f>IFERROR(INPUTS!J28*C188,"")</f>
        <v/>
      </c>
      <c r="G188" s="53" t="str">
        <f>IFERROR(INPUTS!K28*C188,"")</f>
        <v/>
      </c>
      <c r="H188" s="53" t="str">
        <f>IFERROR(((D188*(1-C141))*INPUTS!M28*INPUTS!Q28),"")</f>
        <v/>
      </c>
      <c r="I188" s="53" t="str">
        <f>IFERROR(((E188*(1-D141))*INPUTS!N28*INPUTS!Q28),"")</f>
        <v/>
      </c>
      <c r="J188" s="76" t="str">
        <f t="shared" si="22"/>
        <v/>
      </c>
      <c r="K188" s="176"/>
      <c r="L188" s="175"/>
      <c r="M188" s="175"/>
    </row>
    <row r="189" spans="1:13" s="904" customFormat="1">
      <c r="A189" s="154">
        <f>INPUTS!C29</f>
        <v>0</v>
      </c>
      <c r="B189" s="53" t="str">
        <f>'GHG Manure'!G92</f>
        <v/>
      </c>
      <c r="C189" s="76" t="str">
        <f t="shared" si="21"/>
        <v/>
      </c>
      <c r="D189" s="53" t="str">
        <f>IFERROR(C189*INPUTS!H29,"")</f>
        <v/>
      </c>
      <c r="E189" s="53" t="str">
        <f>IFERROR(C189*INPUTS!I29,"")</f>
        <v/>
      </c>
      <c r="F189" s="53" t="str">
        <f>IFERROR(INPUTS!J29*C189,"")</f>
        <v/>
      </c>
      <c r="G189" s="53" t="str">
        <f>IFERROR(INPUTS!K29*C189,"")</f>
        <v/>
      </c>
      <c r="H189" s="53" t="str">
        <f>IFERROR(((D189*(1-C142))*INPUTS!M29*INPUTS!Q29),"")</f>
        <v/>
      </c>
      <c r="I189" s="53" t="str">
        <f>IFERROR(((E189*(1-D142))*INPUTS!N29*INPUTS!Q29),"")</f>
        <v/>
      </c>
      <c r="J189" s="76" t="str">
        <f t="shared" si="22"/>
        <v/>
      </c>
      <c r="K189" s="176"/>
      <c r="L189" s="175"/>
      <c r="M189" s="175"/>
    </row>
    <row r="190" spans="1:13">
      <c r="A190" s="154">
        <f>INPUTS!C30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IFERROR(C190*INPUTS!H30,"")</f>
        <v/>
      </c>
      <c r="E190" s="53" t="str">
        <f>IFERROR(C190*INPUTS!I30,"")</f>
        <v/>
      </c>
      <c r="F190" s="53" t="str">
        <f>IFERROR(INPUTS!J30*C190,"")</f>
        <v/>
      </c>
      <c r="G190" s="53" t="str">
        <f>IFERROR(INPUTS!K30*C190,"")</f>
        <v/>
      </c>
      <c r="H190" s="53" t="str">
        <f>IFERROR(((D190*(1-C143))*INPUTS!M30*INPUTS!Q30),"")</f>
        <v/>
      </c>
      <c r="I190" s="53" t="str">
        <f>IFERROR(((E190*(1-D143))*INPUTS!N30*INPUTS!Q30),"")</f>
        <v/>
      </c>
      <c r="J190" s="76" t="str">
        <f t="shared" si="22"/>
        <v/>
      </c>
      <c r="K190" s="177" t="e">
        <f>SUM(J176:J180)+SUM(K182:K184)</f>
        <v>#N/A</v>
      </c>
      <c r="L190" s="11"/>
      <c r="M190" s="11"/>
    </row>
    <row r="191" spans="1:13" s="175" customFormat="1">
      <c r="A191" s="78" t="s">
        <v>132</v>
      </c>
      <c r="B191" s="74">
        <f>SUM(C177:C190)</f>
        <v>0</v>
      </c>
      <c r="C191" s="994">
        <f>SUMIF(C177:C190,"&lt;&gt;#N/A")</f>
        <v>0</v>
      </c>
      <c r="D191" s="994">
        <f>SUMIF(D177:D190,"&lt;&gt;#N/A")</f>
        <v>0</v>
      </c>
      <c r="E191" s="77">
        <f>SUM(G177:G190)</f>
        <v>0</v>
      </c>
      <c r="F191" s="994">
        <f>SUMIF(F177:F190,"&lt;&gt;#N/A")</f>
        <v>0</v>
      </c>
      <c r="G191" s="994">
        <f>SUMIF(G177:G190,"&lt;&gt;#N/A")</f>
        <v>0</v>
      </c>
      <c r="H191" s="994">
        <f>SUMIF(H177:H190,"&lt;&gt;#N/A")</f>
        <v>0</v>
      </c>
      <c r="I191" s="994">
        <f>SUMIF(I177:I190,"&lt;&gt;#N/A")</f>
        <v>0</v>
      </c>
      <c r="J191" s="994">
        <f>SUMIF(J177:J190,"&lt;&gt;#N/A")</f>
        <v>0</v>
      </c>
      <c r="K191"/>
      <c r="L191"/>
      <c r="M191"/>
    </row>
    <row r="192" spans="1:13" s="17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5" customFormat="1">
      <c r="A193"/>
      <c r="B193"/>
      <c r="C193"/>
      <c r="D193"/>
      <c r="E193" s="171" t="s">
        <v>1600</v>
      </c>
      <c r="F193" s="823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1" t="s">
        <v>1305</v>
      </c>
      <c r="F194" s="823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36" t="s">
        <v>502</v>
      </c>
      <c r="C198" s="1637"/>
      <c r="D198" s="1637"/>
      <c r="E198" s="1638"/>
    </row>
    <row r="199" spans="1:13">
      <c r="A199" s="13"/>
      <c r="B199" s="1655" t="s">
        <v>410</v>
      </c>
      <c r="C199" s="1655"/>
      <c r="D199" s="1655" t="s">
        <v>409</v>
      </c>
      <c r="E199" s="1655"/>
    </row>
    <row r="200" spans="1:13">
      <c r="A200" s="13" t="s">
        <v>913</v>
      </c>
      <c r="B200" s="13" t="s">
        <v>911</v>
      </c>
      <c r="C200" s="13" t="s">
        <v>912</v>
      </c>
      <c r="D200" s="13" t="s">
        <v>911</v>
      </c>
      <c r="E200" s="13" t="s">
        <v>912</v>
      </c>
    </row>
    <row r="201" spans="1:13">
      <c r="A201" s="995" t="s">
        <v>211</v>
      </c>
      <c r="B201" s="823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0</v>
      </c>
      <c r="C201" s="823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823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0</v>
      </c>
      <c r="E201" s="823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993" t="s">
        <v>210</v>
      </c>
      <c r="B202" s="823">
        <f>SUM(SUMIF($A$153:$A$166, {"Sheep/Goats - Ewes/Does","Sheep/Goats - Breeding Rams/Bucks","Sheep/Goats - Fattening Rams/Bucks","Sheep/Goats - Lambs/Kids"}, $F$153:$F$166))</f>
        <v>0</v>
      </c>
      <c r="C202" s="823">
        <f>SUM(SUMIF($A$153:$A$166, {"Sheep/Goats - Ewes/Does","Sheep/Goats - Breeding Rams/Bucks","Sheep/Goats - Fattening Rams/Bucks","Sheep/Goats - Lambs/Kids"}, $G$153:$G$166))</f>
        <v>0</v>
      </c>
      <c r="D202" s="823">
        <f>SUM(SUMIF($A$177:$A$190, {"Sheep/Goats - Ewes/Does","Sheep/Goats - Breeding Rams/Bucks","Sheep/Goats - Fattening Rams/Bucks","Sheep/Goats - Lambs/Kids"}, $F$177:$F$190))</f>
        <v>0</v>
      </c>
      <c r="E202" s="823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042"/>
      <c r="C205" s="1043"/>
    </row>
    <row r="206" spans="1:13">
      <c r="A206" s="1042"/>
    </row>
    <row r="207" spans="1:13">
      <c r="A207" s="1042"/>
    </row>
    <row r="208" spans="1:13">
      <c r="A208" s="1042"/>
    </row>
    <row r="209" spans="1:1">
      <c r="A209" s="1042"/>
    </row>
    <row r="210" spans="1:1">
      <c r="A210" s="1042"/>
    </row>
    <row r="211" spans="1:1">
      <c r="A211" s="1042"/>
    </row>
    <row r="212" spans="1:1">
      <c r="A212" s="1042"/>
    </row>
    <row r="213" spans="1:1">
      <c r="A213" s="1042"/>
    </row>
    <row r="214" spans="1:1" ht="39" customHeight="1">
      <c r="A214" s="1042"/>
    </row>
    <row r="215" spans="1:1" ht="33" customHeight="1">
      <c r="A215" s="1042"/>
    </row>
    <row r="216" spans="1:1">
      <c r="A216" s="1042"/>
    </row>
    <row r="217" spans="1:1">
      <c r="A217" s="1042"/>
    </row>
    <row r="218" spans="1:1">
      <c r="A218" s="1042"/>
    </row>
    <row r="219" spans="1:1">
      <c r="A219" s="1042"/>
    </row>
    <row r="220" spans="1:1">
      <c r="A220" s="989"/>
    </row>
  </sheetData>
  <mergeCells count="55">
    <mergeCell ref="G105:H105"/>
    <mergeCell ref="C126:D126"/>
    <mergeCell ref="G126:H126"/>
    <mergeCell ref="B54:B56"/>
    <mergeCell ref="B103:B105"/>
    <mergeCell ref="G103:H103"/>
    <mergeCell ref="C103:D103"/>
    <mergeCell ref="G104:H104"/>
    <mergeCell ref="D29:D30"/>
    <mergeCell ref="E29:E30"/>
    <mergeCell ref="B46:O46"/>
    <mergeCell ref="L27:N27"/>
    <mergeCell ref="L28:N28"/>
    <mergeCell ref="L30:N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921</v>
      </c>
      <c r="C2" s="12" t="s">
        <v>922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664</v>
      </c>
      <c r="C5" s="46" t="s">
        <v>664</v>
      </c>
    </row>
    <row r="6" spans="2:16">
      <c r="B6" s="47">
        <f>(H22)*(44/28)</f>
        <v>2.4873196473888295</v>
      </c>
      <c r="C6" s="47">
        <f>(P22)*(44/28)</f>
        <v>0.53559086524597233</v>
      </c>
    </row>
    <row r="8" spans="2:16">
      <c r="B8" s="46" t="s">
        <v>616</v>
      </c>
      <c r="C8" s="1691" t="s">
        <v>919</v>
      </c>
      <c r="D8" s="1692"/>
      <c r="E8" s="1692"/>
      <c r="F8" s="1692"/>
      <c r="G8" s="1692"/>
      <c r="H8" s="1692"/>
      <c r="L8" s="1693" t="s">
        <v>920</v>
      </c>
      <c r="M8" s="1693"/>
      <c r="N8" s="1693"/>
      <c r="O8" s="1693"/>
      <c r="P8" s="1693"/>
    </row>
    <row r="9" spans="2:16">
      <c r="B9" s="1645" t="s">
        <v>172</v>
      </c>
      <c r="C9" s="1645"/>
      <c r="D9" s="1645" t="s">
        <v>217</v>
      </c>
      <c r="E9" s="1645"/>
      <c r="F9" s="1645"/>
      <c r="G9" s="1645"/>
      <c r="H9" s="1645"/>
      <c r="J9" s="1645" t="s">
        <v>172</v>
      </c>
      <c r="K9" s="1645"/>
      <c r="L9" s="1645" t="s">
        <v>217</v>
      </c>
      <c r="M9" s="1645"/>
      <c r="N9" s="1645"/>
      <c r="O9" s="1645"/>
      <c r="P9" s="1645"/>
    </row>
    <row r="10" spans="2:16" ht="63">
      <c r="B10" s="1572" t="s">
        <v>216</v>
      </c>
      <c r="C10" s="1572"/>
      <c r="D10" s="1572" t="s">
        <v>236</v>
      </c>
      <c r="E10" s="1572"/>
      <c r="F10" s="1559" t="s">
        <v>235</v>
      </c>
      <c r="G10" s="1559"/>
      <c r="H10" s="24" t="s">
        <v>234</v>
      </c>
      <c r="J10" s="1572" t="s">
        <v>216</v>
      </c>
      <c r="K10" s="1572"/>
      <c r="L10" s="1572" t="s">
        <v>236</v>
      </c>
      <c r="M10" s="1572"/>
      <c r="N10" s="1559" t="s">
        <v>235</v>
      </c>
      <c r="O10" s="1559"/>
      <c r="P10" s="24" t="s">
        <v>234</v>
      </c>
    </row>
    <row r="11" spans="2:16">
      <c r="B11" s="1572"/>
      <c r="C11" s="1572"/>
      <c r="D11" s="1572" t="s">
        <v>233</v>
      </c>
      <c r="E11" s="1572"/>
      <c r="F11" s="1572" t="s">
        <v>232</v>
      </c>
      <c r="G11" s="1572"/>
      <c r="H11" s="24" t="s">
        <v>231</v>
      </c>
      <c r="J11" s="1572"/>
      <c r="K11" s="1572"/>
      <c r="L11" s="1572" t="s">
        <v>233</v>
      </c>
      <c r="M11" s="1572"/>
      <c r="N11" s="1572" t="s">
        <v>232</v>
      </c>
      <c r="O11" s="1572"/>
      <c r="P11" s="24" t="s">
        <v>231</v>
      </c>
    </row>
    <row r="12" spans="2:16" ht="31.5">
      <c r="B12" s="1572"/>
      <c r="C12" s="1572"/>
      <c r="D12" s="1572"/>
      <c r="E12" s="1572"/>
      <c r="F12" s="1572" t="s">
        <v>230</v>
      </c>
      <c r="G12" s="1572"/>
      <c r="H12" s="24" t="s">
        <v>229</v>
      </c>
      <c r="J12" s="1572"/>
      <c r="K12" s="1572"/>
      <c r="L12" s="1572"/>
      <c r="M12" s="1572"/>
      <c r="N12" s="1572" t="s">
        <v>230</v>
      </c>
      <c r="O12" s="1572"/>
      <c r="P12" s="24" t="s">
        <v>229</v>
      </c>
    </row>
    <row r="13" spans="2:16">
      <c r="B13" s="1572"/>
      <c r="C13" s="1572"/>
      <c r="D13" s="1572" t="s">
        <v>228</v>
      </c>
      <c r="E13" s="1572"/>
      <c r="F13" s="1572" t="s">
        <v>0</v>
      </c>
      <c r="G13" s="1572"/>
      <c r="H13" s="24" t="s">
        <v>227</v>
      </c>
      <c r="J13" s="1572"/>
      <c r="K13" s="1572"/>
      <c r="L13" s="1572" t="s">
        <v>228</v>
      </c>
      <c r="M13" s="1572"/>
      <c r="N13" s="1572" t="s">
        <v>0</v>
      </c>
      <c r="O13" s="1572"/>
      <c r="P13" s="24" t="s">
        <v>227</v>
      </c>
    </row>
    <row r="14" spans="2:16" ht="15.75" customHeight="1">
      <c r="B14" s="1627" t="s">
        <v>226</v>
      </c>
      <c r="C14" s="27" t="s">
        <v>224</v>
      </c>
      <c r="D14" s="26" t="s">
        <v>223</v>
      </c>
      <c r="E14" s="70">
        <f>'N balance'!AI16</f>
        <v>26.463554485326512</v>
      </c>
      <c r="F14" s="1645" t="s">
        <v>225</v>
      </c>
      <c r="G14" s="27">
        <f>'GHG Parameters'!D237</f>
        <v>0.01</v>
      </c>
      <c r="H14" s="45">
        <f t="shared" ref="H14:H19" si="0">E14*G14</f>
        <v>0.26463554485326513</v>
      </c>
      <c r="J14" s="1627" t="s">
        <v>226</v>
      </c>
      <c r="K14" s="27" t="s">
        <v>224</v>
      </c>
      <c r="L14" s="26" t="s">
        <v>223</v>
      </c>
      <c r="M14" s="70">
        <f>'N balance'!AI16</f>
        <v>26.463554485326512</v>
      </c>
      <c r="N14" s="1645" t="s">
        <v>225</v>
      </c>
      <c r="O14" s="27">
        <f>'GHG Parameters'!D237</f>
        <v>0.01</v>
      </c>
      <c r="P14" s="45">
        <f t="shared" ref="P14:P19" si="1">M14*O14</f>
        <v>0.26463554485326513</v>
      </c>
    </row>
    <row r="15" spans="2:16" ht="47.25">
      <c r="B15" s="1627"/>
      <c r="C15" s="27" t="s">
        <v>221</v>
      </c>
      <c r="D15" s="26" t="s">
        <v>220</v>
      </c>
      <c r="E15" s="70">
        <f>(SUM(INPUTS!D38:'INPUTS'!D41)-INPUTS!D42+'GHG Manure'!J167)</f>
        <v>128.86092250000002</v>
      </c>
      <c r="F15" s="1645"/>
      <c r="G15" s="27">
        <f>'GHG Parameters'!D237</f>
        <v>0.01</v>
      </c>
      <c r="H15" s="45">
        <f t="shared" si="0"/>
        <v>1.2886092250000001</v>
      </c>
      <c r="J15" s="1627"/>
      <c r="K15" s="27" t="s">
        <v>221</v>
      </c>
      <c r="L15" s="26" t="s">
        <v>220</v>
      </c>
      <c r="M15" s="168">
        <f>(SUM(INPUTS!D38:'INPUTS'!D41)-INPUTS!D42+'GHG Manure'!J191)</f>
        <v>4.66</v>
      </c>
      <c r="N15" s="1645"/>
      <c r="O15" s="27">
        <f>'GHG Parameters'!D237</f>
        <v>0.01</v>
      </c>
      <c r="P15" s="45">
        <f>M15*O15</f>
        <v>4.6600000000000003E-2</v>
      </c>
    </row>
    <row r="16" spans="2:16" ht="16.5" thickBot="1">
      <c r="B16" s="1694"/>
      <c r="C16" s="95" t="s">
        <v>219</v>
      </c>
      <c r="D16" s="96" t="s">
        <v>218</v>
      </c>
      <c r="E16" s="97">
        <f>F39</f>
        <v>2.9595005757808215</v>
      </c>
      <c r="F16" s="1695"/>
      <c r="G16" s="95">
        <f>'GHG Parameters'!D237</f>
        <v>0.01</v>
      </c>
      <c r="H16" s="98">
        <f t="shared" si="0"/>
        <v>2.9595005757808216E-2</v>
      </c>
      <c r="J16" s="1694"/>
      <c r="K16" s="95" t="s">
        <v>219</v>
      </c>
      <c r="L16" s="96" t="s">
        <v>218</v>
      </c>
      <c r="M16" s="97">
        <f>F39</f>
        <v>2.9595005757808215</v>
      </c>
      <c r="N16" s="1695"/>
      <c r="O16" s="95">
        <f>'GHG Parameters'!D237</f>
        <v>0.01</v>
      </c>
      <c r="P16" s="98">
        <f t="shared" si="1"/>
        <v>2.9595005757808216E-2</v>
      </c>
    </row>
    <row r="17" spans="2:16" ht="15.75" customHeight="1" thickTop="1">
      <c r="B17" s="1635" t="s">
        <v>613</v>
      </c>
      <c r="C17" s="90" t="s">
        <v>224</v>
      </c>
      <c r="D17" s="89" t="s">
        <v>614</v>
      </c>
      <c r="E17" s="99">
        <f>INPUTS!E114*INPUTS!E109</f>
        <v>0</v>
      </c>
      <c r="F17" s="1684" t="s">
        <v>222</v>
      </c>
      <c r="G17" s="90">
        <f>'GHG Parameters'!D243</f>
        <v>3.0000000000000001E-3</v>
      </c>
      <c r="H17" s="94">
        <f t="shared" si="0"/>
        <v>0</v>
      </c>
      <c r="J17" s="1635" t="s">
        <v>613</v>
      </c>
      <c r="K17" s="90" t="s">
        <v>224</v>
      </c>
      <c r="L17" s="89" t="s">
        <v>614</v>
      </c>
      <c r="M17" s="99">
        <f>SUM(INPUTS!E114:I114)*SUM(INPUTS!E109:I109)</f>
        <v>0</v>
      </c>
      <c r="N17" s="1684" t="s">
        <v>222</v>
      </c>
      <c r="O17" s="90">
        <f>'GHG Parameters'!D243</f>
        <v>3.0000000000000001E-3</v>
      </c>
      <c r="P17" s="94">
        <f t="shared" si="1"/>
        <v>0</v>
      </c>
    </row>
    <row r="18" spans="2:16" ht="47.25">
      <c r="B18" s="1627"/>
      <c r="C18" s="27" t="s">
        <v>221</v>
      </c>
      <c r="D18" s="26" t="s">
        <v>650</v>
      </c>
      <c r="E18" s="70"/>
      <c r="F18" s="1645"/>
      <c r="G18" s="27">
        <f>'GHG Parameters'!D243</f>
        <v>3.0000000000000001E-3</v>
      </c>
      <c r="H18" s="45">
        <f t="shared" si="0"/>
        <v>0</v>
      </c>
      <c r="J18" s="1627"/>
      <c r="K18" s="27" t="s">
        <v>221</v>
      </c>
      <c r="L18" s="26" t="s">
        <v>650</v>
      </c>
      <c r="M18" s="70"/>
      <c r="N18" s="1645"/>
      <c r="O18" s="27">
        <f>'GHG Parameters'!D243</f>
        <v>3.0000000000000001E-3</v>
      </c>
      <c r="P18" s="45">
        <f t="shared" si="1"/>
        <v>0</v>
      </c>
    </row>
    <row r="19" spans="2:16" ht="16.5" thickBot="1">
      <c r="B19" s="1694"/>
      <c r="C19" s="95" t="s">
        <v>219</v>
      </c>
      <c r="D19" s="96" t="s">
        <v>218</v>
      </c>
      <c r="E19" s="166"/>
      <c r="F19" s="1695"/>
      <c r="G19" s="95">
        <f>'GHG Parameters'!D243</f>
        <v>3.0000000000000001E-3</v>
      </c>
      <c r="H19" s="98">
        <f t="shared" si="0"/>
        <v>0</v>
      </c>
      <c r="J19" s="1694"/>
      <c r="K19" s="95" t="s">
        <v>219</v>
      </c>
      <c r="L19" s="96" t="s">
        <v>218</v>
      </c>
      <c r="M19" s="166"/>
      <c r="N19" s="1695"/>
      <c r="O19" s="95">
        <f>'GHG Parameters'!D243</f>
        <v>3.0000000000000001E-3</v>
      </c>
      <c r="P19" s="98">
        <f t="shared" si="1"/>
        <v>0</v>
      </c>
    </row>
    <row r="20" spans="2:16" ht="48" thickTop="1">
      <c r="B20" s="1635" t="s">
        <v>610</v>
      </c>
      <c r="C20" s="90" t="s">
        <v>211</v>
      </c>
      <c r="D20" s="89" t="s">
        <v>611</v>
      </c>
      <c r="E20" s="68">
        <f>'GHG Manure'!B201</f>
        <v>0</v>
      </c>
      <c r="F20" s="92" t="s">
        <v>212</v>
      </c>
      <c r="G20" s="90">
        <f>'GHG Parameters'!D239</f>
        <v>0.02</v>
      </c>
      <c r="H20" s="87">
        <f>G20*E20</f>
        <v>0</v>
      </c>
      <c r="J20" s="1635" t="s">
        <v>610</v>
      </c>
      <c r="K20" s="90" t="s">
        <v>211</v>
      </c>
      <c r="L20" s="89" t="s">
        <v>611</v>
      </c>
      <c r="M20" s="87">
        <f>'GHG Manure'!D201</f>
        <v>0</v>
      </c>
      <c r="N20" s="92" t="s">
        <v>212</v>
      </c>
      <c r="O20" s="90">
        <f>'GHG Parameters'!D239</f>
        <v>0.02</v>
      </c>
      <c r="P20" s="87">
        <f>O20*M20</f>
        <v>0</v>
      </c>
    </row>
    <row r="21" spans="2:16" ht="47.25">
      <c r="B21" s="1627"/>
      <c r="C21" s="27" t="s">
        <v>210</v>
      </c>
      <c r="D21" s="26" t="s">
        <v>612</v>
      </c>
      <c r="E21" s="68">
        <f>'GHG Manure'!B202</f>
        <v>0</v>
      </c>
      <c r="F21" s="23" t="s">
        <v>212</v>
      </c>
      <c r="G21" s="27">
        <f>'GHG Parameters'!D240</f>
        <v>0.01</v>
      </c>
      <c r="H21" s="68">
        <f>G21*E21</f>
        <v>0</v>
      </c>
      <c r="J21" s="1627"/>
      <c r="K21" s="27" t="s">
        <v>210</v>
      </c>
      <c r="L21" s="26" t="s">
        <v>612</v>
      </c>
      <c r="M21" s="87">
        <f>'GHG Manure'!D202</f>
        <v>0</v>
      </c>
      <c r="N21" s="23" t="s">
        <v>212</v>
      </c>
      <c r="O21" s="27">
        <f>'GHG Parameters'!D240</f>
        <v>0.01</v>
      </c>
      <c r="P21" s="68">
        <f>O21*M21</f>
        <v>0</v>
      </c>
    </row>
    <row r="22" spans="2:16">
      <c r="B22" s="1645" t="s">
        <v>209</v>
      </c>
      <c r="C22" s="1645"/>
      <c r="D22" s="23"/>
      <c r="E22" s="23"/>
      <c r="F22" s="23"/>
      <c r="G22" s="23"/>
      <c r="H22" s="47">
        <f>SUM(H14:H21)</f>
        <v>1.5828397756110735</v>
      </c>
      <c r="J22" s="1645" t="s">
        <v>209</v>
      </c>
      <c r="K22" s="1645"/>
      <c r="L22" s="23"/>
      <c r="M22" s="23"/>
      <c r="N22" s="23"/>
      <c r="O22" s="23"/>
      <c r="P22" s="73">
        <f>SUM(P14:P21)</f>
        <v>0.34083055061107331</v>
      </c>
    </row>
    <row r="25" spans="2:16">
      <c r="B25" t="s">
        <v>617</v>
      </c>
    </row>
    <row r="28" spans="2:16" ht="31.5">
      <c r="B28" s="1628" t="s">
        <v>351</v>
      </c>
      <c r="C28" s="24" t="s">
        <v>349</v>
      </c>
      <c r="D28" s="24" t="s">
        <v>1325</v>
      </c>
      <c r="E28" s="24" t="s">
        <v>357</v>
      </c>
      <c r="F28" s="24" t="s">
        <v>352</v>
      </c>
      <c r="H28"/>
    </row>
    <row r="29" spans="2:16">
      <c r="B29" s="1683"/>
      <c r="C29" s="24" t="s">
        <v>215</v>
      </c>
      <c r="D29" s="24" t="s">
        <v>153</v>
      </c>
      <c r="E29" s="24" t="s">
        <v>350</v>
      </c>
      <c r="F29" s="24" t="s">
        <v>233</v>
      </c>
      <c r="H29"/>
    </row>
    <row r="30" spans="2:16">
      <c r="B30" s="1683"/>
      <c r="C30" s="24"/>
      <c r="D30" s="24"/>
      <c r="E30" s="24"/>
      <c r="F30" s="24" t="s">
        <v>356</v>
      </c>
      <c r="H30"/>
    </row>
    <row r="31" spans="2:16">
      <c r="B31" s="1684"/>
      <c r="C31" s="24" t="s">
        <v>144</v>
      </c>
      <c r="D31" s="24" t="s">
        <v>355</v>
      </c>
      <c r="E31" s="24" t="s">
        <v>354</v>
      </c>
      <c r="F31" s="24" t="s">
        <v>353</v>
      </c>
      <c r="H31"/>
    </row>
    <row r="32" spans="2:16">
      <c r="B32" s="23" t="str">
        <f>INPUTS!D69</f>
        <v>Purchased</v>
      </c>
      <c r="C32" s="87">
        <f>'Land requirements'!F4</f>
        <v>0</v>
      </c>
      <c r="D32" s="99">
        <f>1-(INPUTS!F84+INPUTS!G84)</f>
        <v>1</v>
      </c>
      <c r="E32" s="500">
        <f>VLOOKUP(B32,'Crop parameters'!$A$2:$Z$43,9, FALSE)</f>
        <v>0</v>
      </c>
      <c r="F32" s="501">
        <f>C32*E32*D32</f>
        <v>0</v>
      </c>
      <c r="H32"/>
    </row>
    <row r="33" spans="1:20">
      <c r="B33" s="23" t="str">
        <f>INPUTS!D70</f>
        <v>Pennisetum purpureum</v>
      </c>
      <c r="C33" s="87">
        <f>'Land requirements'!F5</f>
        <v>3.0544411906916535E-2</v>
      </c>
      <c r="D33" s="99">
        <f>1-(INPUTS!F85+INPUTS!G85)</f>
        <v>1</v>
      </c>
      <c r="E33" s="500">
        <f>VLOOKUP(B33,'Crop parameters'!$A$2:$Z$43,9, FALSE)</f>
        <v>0</v>
      </c>
      <c r="F33" s="501">
        <f t="shared" ref="F33:F38" si="2">C33*E33*D33</f>
        <v>0</v>
      </c>
      <c r="H33"/>
    </row>
    <row r="34" spans="1:20">
      <c r="B34" s="23" t="str">
        <f>INPUTS!D71</f>
        <v>Rhodes</v>
      </c>
      <c r="C34" s="87">
        <f>'Land requirements'!F6</f>
        <v>0.20199547275614554</v>
      </c>
      <c r="D34" s="99">
        <f>1-(INPUTS!F86+INPUTS!G86)</f>
        <v>1</v>
      </c>
      <c r="E34" s="500">
        <f>VLOOKUP(B34,'Crop parameters'!$A$2:$Z$43,9, FALSE)</f>
        <v>0</v>
      </c>
      <c r="F34" s="463">
        <f>IFERROR(C34*E34*D34, 0)</f>
        <v>0</v>
      </c>
      <c r="H34"/>
    </row>
    <row r="35" spans="1:20">
      <c r="B35" s="23" t="str">
        <f>INPUTS!D72</f>
        <v>Guatemala</v>
      </c>
      <c r="C35" s="87">
        <f>'Land requirements'!F7</f>
        <v>6.7917828725135729E-2</v>
      </c>
      <c r="D35" s="99">
        <f>1-(INPUTS!F87+INPUTS!G87)</f>
        <v>1</v>
      </c>
      <c r="E35" s="500">
        <f>VLOOKUP(B35,'Crop parameters'!$A$2:$Z$43,9, FALSE)</f>
        <v>0</v>
      </c>
      <c r="F35" s="463">
        <f t="shared" si="2"/>
        <v>0</v>
      </c>
      <c r="H35"/>
    </row>
    <row r="36" spans="1:20">
      <c r="B36" s="23" t="str">
        <f>INPUTS!D73</f>
        <v>Maize</v>
      </c>
      <c r="C36" s="87">
        <f>'Land requirements'!F8</f>
        <v>0.96211631601388448</v>
      </c>
      <c r="D36" s="99">
        <f>1-(INPUTS!F88+INPUTS!G88)</f>
        <v>0.4</v>
      </c>
      <c r="E36" s="500">
        <f>VLOOKUP(B36,'Crop parameters'!$A$2:$Z$43,9, FALSE)</f>
        <v>7.6900800000000009</v>
      </c>
      <c r="F36" s="463">
        <f t="shared" si="2"/>
        <v>2.9595005757808215</v>
      </c>
      <c r="H36"/>
    </row>
    <row r="37" spans="1:20">
      <c r="B37" s="23" t="str">
        <f>INPUTS!D74</f>
        <v>Natural pasture</v>
      </c>
      <c r="C37" s="87">
        <f>'Land requirements'!F9</f>
        <v>0.50166293628635195</v>
      </c>
      <c r="D37" s="99">
        <f>1-(INPUTS!F89+INPUTS!G89)</f>
        <v>1</v>
      </c>
      <c r="E37" s="500">
        <f>VLOOKUP(B37,'Crop parameters'!$A$2:$Z$43,9, FALSE)</f>
        <v>0</v>
      </c>
      <c r="F37" s="463">
        <f t="shared" si="2"/>
        <v>0</v>
      </c>
      <c r="H37"/>
    </row>
    <row r="38" spans="1:20">
      <c r="B38" s="23" t="str">
        <f>INPUTS!D75</f>
        <v>N/A</v>
      </c>
      <c r="C38" s="87">
        <f>'Land requirements'!F10</f>
        <v>0</v>
      </c>
      <c r="D38" s="99">
        <f>1-(INPUTS!F90+INPUTS!G90)</f>
        <v>1</v>
      </c>
      <c r="E38" s="500">
        <f>VLOOKUP(B38,'Crop parameters'!$A$2:$Z$43,9, FALSE)</f>
        <v>0</v>
      </c>
      <c r="F38" s="463">
        <f t="shared" si="2"/>
        <v>0</v>
      </c>
      <c r="H38"/>
    </row>
    <row r="39" spans="1:20">
      <c r="B39" s="1688" t="s">
        <v>671</v>
      </c>
      <c r="C39" s="1688"/>
      <c r="D39" s="1688"/>
      <c r="E39" s="1688"/>
      <c r="F39" s="462">
        <f>SUM(F32:F38)</f>
        <v>2.9595005757808215</v>
      </c>
    </row>
    <row r="40" spans="1:20">
      <c r="C40"/>
      <c r="F40"/>
      <c r="H40"/>
    </row>
    <row r="41" spans="1:20">
      <c r="B41" s="12" t="s">
        <v>615</v>
      </c>
      <c r="C41" s="12" t="s">
        <v>921</v>
      </c>
      <c r="D41" s="12"/>
      <c r="E41" s="12"/>
      <c r="F41" s="12"/>
      <c r="H41"/>
    </row>
    <row r="42" spans="1:20" s="12" customFormat="1">
      <c r="B42" s="23" t="s">
        <v>254</v>
      </c>
      <c r="C42" s="810" t="s">
        <v>255</v>
      </c>
      <c r="D42" s="811"/>
      <c r="E42" s="811"/>
      <c r="F42" s="811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811"/>
      <c r="H43" s="811"/>
      <c r="I43" s="812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487</v>
      </c>
      <c r="I44" s="24" t="s">
        <v>488</v>
      </c>
      <c r="J44" s="24" t="s">
        <v>488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26.463554485326512</v>
      </c>
      <c r="D47" s="68">
        <f>'GHG Parameters'!D245</f>
        <v>0.1</v>
      </c>
      <c r="E47" s="68">
        <f>SUM(E15:E19)</f>
        <v>131.82042307578084</v>
      </c>
      <c r="F47" s="68">
        <f>E20+E21</f>
        <v>0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813" t="s">
        <v>253</v>
      </c>
      <c r="C48" s="814"/>
      <c r="D48" s="814"/>
      <c r="E48" s="814"/>
      <c r="F48" s="814"/>
      <c r="G48" s="68">
        <f>'GHG Parameters'!D246</f>
        <v>0.2</v>
      </c>
      <c r="H48" s="68">
        <f>'GHG Parameters'!D241</f>
        <v>0.01</v>
      </c>
      <c r="I48" s="68">
        <f>((C47*D47)+((E47+F47)*G48))*H48</f>
        <v>0.29010440063688825</v>
      </c>
      <c r="J48" s="71"/>
      <c r="K48" s="12"/>
      <c r="L48" s="12"/>
      <c r="M48" s="12"/>
    </row>
    <row r="49" spans="1:13">
      <c r="A49" s="12"/>
      <c r="G49" s="814"/>
      <c r="H49" s="814"/>
      <c r="I49" s="815"/>
      <c r="J49" s="69">
        <f>I48*(44/28)</f>
        <v>0.45587834385796722</v>
      </c>
      <c r="K49" s="12"/>
      <c r="L49" s="12"/>
      <c r="M49" s="12"/>
    </row>
    <row r="51" spans="1:13">
      <c r="B51" s="12" t="s">
        <v>615</v>
      </c>
      <c r="C51" s="12" t="s">
        <v>922</v>
      </c>
      <c r="D51" s="12"/>
      <c r="E51" s="12"/>
      <c r="F51" s="12"/>
    </row>
    <row r="52" spans="1:13">
      <c r="B52" s="23" t="s">
        <v>254</v>
      </c>
      <c r="C52" s="810" t="s">
        <v>255</v>
      </c>
      <c r="D52" s="811"/>
      <c r="E52" s="811"/>
      <c r="F52" s="811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811"/>
      <c r="H53" s="811"/>
      <c r="I53" s="812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487</v>
      </c>
      <c r="I54" s="24" t="s">
        <v>488</v>
      </c>
      <c r="J54" s="24" t="s">
        <v>488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>
        <f>'GHG Soil'!M14+M17</f>
        <v>26.463554485326512</v>
      </c>
      <c r="D57" s="68">
        <f>'GHG Parameters'!D245</f>
        <v>0.1</v>
      </c>
      <c r="E57" s="68">
        <f>SUM(M15:M19)</f>
        <v>7.6195005757808216</v>
      </c>
      <c r="F57" s="68">
        <f>M20+M21</f>
        <v>0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813" t="s">
        <v>253</v>
      </c>
      <c r="C58" s="814"/>
      <c r="D58" s="814"/>
      <c r="E58" s="814"/>
      <c r="F58" s="814"/>
      <c r="G58" s="68">
        <f>'GHG Parameters'!D246</f>
        <v>0.2</v>
      </c>
      <c r="H58" s="68">
        <f>'GHG Parameters'!D241</f>
        <v>0.01</v>
      </c>
      <c r="I58" s="68">
        <f>((C57*D57)+((E57+F57)*G58))*H58</f>
        <v>4.1702555636888156E-2</v>
      </c>
      <c r="J58" s="71"/>
    </row>
    <row r="59" spans="1:13">
      <c r="G59" s="814"/>
      <c r="H59" s="814"/>
      <c r="I59" s="815"/>
      <c r="J59" s="69">
        <f>I58*(44/28)</f>
        <v>6.5532587429395675E-2</v>
      </c>
    </row>
    <row r="63" spans="1:13">
      <c r="B63" t="s">
        <v>947</v>
      </c>
    </row>
    <row r="64" spans="1:13">
      <c r="B64" t="s">
        <v>921</v>
      </c>
      <c r="C64" s="12" t="s">
        <v>922</v>
      </c>
    </row>
    <row r="65" spans="2:11" ht="31.5">
      <c r="B65" s="46" t="s">
        <v>951</v>
      </c>
      <c r="C65" s="46" t="s">
        <v>951</v>
      </c>
    </row>
    <row r="66" spans="2:11">
      <c r="B66" s="46" t="s">
        <v>237</v>
      </c>
      <c r="C66" s="46" t="s">
        <v>237</v>
      </c>
    </row>
    <row r="67" spans="2:11" ht="31.5">
      <c r="B67" s="46" t="s">
        <v>664</v>
      </c>
      <c r="C67" s="46" t="s">
        <v>664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85"/>
      <c r="C69" s="1686"/>
      <c r="D69" s="1572" t="s">
        <v>236</v>
      </c>
      <c r="E69" s="1572"/>
      <c r="F69" s="24" t="s">
        <v>235</v>
      </c>
    </row>
    <row r="70" spans="2:11" ht="110.25">
      <c r="B70" s="1650"/>
      <c r="C70" s="1687"/>
      <c r="D70" s="1572" t="s">
        <v>233</v>
      </c>
      <c r="E70" s="1572"/>
      <c r="F70" s="27" t="s">
        <v>232</v>
      </c>
      <c r="G70" s="24"/>
      <c r="H70" s="24" t="s">
        <v>951</v>
      </c>
      <c r="I70" s="24" t="s">
        <v>242</v>
      </c>
      <c r="J70" s="24" t="s">
        <v>487</v>
      </c>
      <c r="K70" s="24" t="s">
        <v>488</v>
      </c>
    </row>
    <row r="71" spans="2:11" ht="31.5">
      <c r="B71" s="1650"/>
      <c r="C71" s="1687"/>
      <c r="D71" s="1572"/>
      <c r="E71" s="1572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949</v>
      </c>
      <c r="D72" s="1572" t="s">
        <v>228</v>
      </c>
      <c r="E72" s="1572"/>
      <c r="F72" s="27" t="s">
        <v>0</v>
      </c>
      <c r="G72" s="27"/>
      <c r="H72" s="24" t="s">
        <v>229</v>
      </c>
      <c r="I72" s="27" t="s">
        <v>247</v>
      </c>
      <c r="J72" s="208" t="s">
        <v>247</v>
      </c>
      <c r="K72" s="1689"/>
    </row>
    <row r="73" spans="2:11" ht="31.5">
      <c r="B73" s="1635" t="s">
        <v>948</v>
      </c>
      <c r="C73" s="90" t="s">
        <v>211</v>
      </c>
      <c r="D73" s="89" t="s">
        <v>611</v>
      </c>
      <c r="E73" s="87">
        <f>'GHG Manure'!C201</f>
        <v>0</v>
      </c>
      <c r="F73" s="92" t="s">
        <v>212</v>
      </c>
      <c r="G73" s="27"/>
      <c r="H73" s="24" t="s">
        <v>227</v>
      </c>
      <c r="I73" s="27" t="s">
        <v>251</v>
      </c>
      <c r="J73" s="208" t="s">
        <v>125</v>
      </c>
      <c r="K73" s="1690"/>
    </row>
    <row r="74" spans="2:11" ht="31.5">
      <c r="B74" s="1627"/>
      <c r="C74" s="27" t="s">
        <v>210</v>
      </c>
      <c r="D74" s="26" t="s">
        <v>612</v>
      </c>
      <c r="E74" s="68">
        <f>'GHG Manure'!C202</f>
        <v>0</v>
      </c>
      <c r="F74" s="23" t="s">
        <v>212</v>
      </c>
      <c r="G74" s="90">
        <f>'GHG Parameters'!D239</f>
        <v>0.02</v>
      </c>
      <c r="H74" s="209">
        <f>G74*E73</f>
        <v>0</v>
      </c>
      <c r="I74" s="68">
        <f>'GHG Parameters'!D246</f>
        <v>0.2</v>
      </c>
      <c r="J74" s="211">
        <f>'GHG Parameters'!D241</f>
        <v>0.01</v>
      </c>
      <c r="K74" s="284">
        <f>H74*I74*J74 *(44/28)</f>
        <v>0</v>
      </c>
    </row>
    <row r="75" spans="2:11">
      <c r="G75" s="27">
        <f>'GHG Parameters'!D240</f>
        <v>0.01</v>
      </c>
      <c r="H75" s="69">
        <f>G75*E74</f>
        <v>0</v>
      </c>
      <c r="I75" s="68">
        <f>'GHG Parameters'!D246</f>
        <v>0.2</v>
      </c>
      <c r="J75" s="211">
        <f>'GHG Parameters'!D241</f>
        <v>0.01</v>
      </c>
      <c r="K75" s="284">
        <f>H75*I75*J75 *(44/28)</f>
        <v>0</v>
      </c>
    </row>
    <row r="76" spans="2:11">
      <c r="B76" t="s">
        <v>950</v>
      </c>
      <c r="H76" s="210"/>
      <c r="K76" s="285"/>
    </row>
    <row r="77" spans="2:11" ht="31.5">
      <c r="B77" s="1635" t="s">
        <v>948</v>
      </c>
      <c r="C77" s="90" t="s">
        <v>211</v>
      </c>
      <c r="D77" s="89" t="s">
        <v>611</v>
      </c>
      <c r="E77" s="87">
        <f>'GHG Manure'!E201</f>
        <v>0</v>
      </c>
      <c r="F77" s="92" t="s">
        <v>212</v>
      </c>
      <c r="G77" s="90">
        <f>'GHG Parameters'!D239</f>
        <v>0.02</v>
      </c>
      <c r="H77" s="209">
        <f>G77*E77</f>
        <v>0</v>
      </c>
      <c r="I77" s="68">
        <f>'GHG Parameters'!D246</f>
        <v>0.2</v>
      </c>
      <c r="J77" s="211">
        <f>'GHG Parameters'!D241</f>
        <v>0.01</v>
      </c>
      <c r="K77" s="284">
        <f>H77*I77*J77 *(44/28)</f>
        <v>0</v>
      </c>
    </row>
    <row r="78" spans="2:11" ht="31.5">
      <c r="B78" s="1627"/>
      <c r="C78" s="27" t="s">
        <v>210</v>
      </c>
      <c r="D78" s="26" t="s">
        <v>612</v>
      </c>
      <c r="E78" s="68">
        <f>'GHG Manure'!E202</f>
        <v>0</v>
      </c>
      <c r="F78" s="23" t="s">
        <v>212</v>
      </c>
      <c r="G78" s="27">
        <f>'GHG Parameters'!D240</f>
        <v>0.01</v>
      </c>
      <c r="H78" s="69">
        <f>G78*E78</f>
        <v>0</v>
      </c>
      <c r="I78" s="68">
        <f>'GHG Parameters'!D246</f>
        <v>0.2</v>
      </c>
      <c r="J78" s="211">
        <f>'GHG Parameters'!D241</f>
        <v>0.01</v>
      </c>
      <c r="K78" s="284">
        <f>H78*I78*J78 *(44/28)</f>
        <v>0</v>
      </c>
    </row>
  </sheetData>
  <mergeCells count="46">
    <mergeCell ref="B20:B21"/>
    <mergeCell ref="F11:G11"/>
    <mergeCell ref="F13:G13"/>
    <mergeCell ref="B14:B16"/>
    <mergeCell ref="B17:B19"/>
    <mergeCell ref="F14:F16"/>
    <mergeCell ref="F17:F19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B77:B78"/>
    <mergeCell ref="D72:E72"/>
    <mergeCell ref="B69:C71"/>
    <mergeCell ref="B28:B31"/>
    <mergeCell ref="B22:C22"/>
    <mergeCell ref="B39:E39"/>
    <mergeCell ref="D71:E71"/>
    <mergeCell ref="B73:B74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620</v>
      </c>
    </row>
    <row r="2" spans="1:15">
      <c r="A2" t="s">
        <v>651</v>
      </c>
      <c r="C2" t="s">
        <v>654</v>
      </c>
    </row>
    <row r="5" spans="1:15">
      <c r="J5" t="s">
        <v>683</v>
      </c>
    </row>
    <row r="6" spans="1:15">
      <c r="C6" s="24" t="s">
        <v>672</v>
      </c>
      <c r="D6" s="24" t="s">
        <v>674</v>
      </c>
      <c r="E6" s="1559" t="s">
        <v>677</v>
      </c>
      <c r="F6" s="1559"/>
      <c r="G6" s="1559"/>
      <c r="H6" s="1559"/>
      <c r="I6" s="1559"/>
      <c r="J6" s="1559" t="s">
        <v>680</v>
      </c>
      <c r="K6" s="1559"/>
      <c r="L6" s="1559"/>
      <c r="M6" s="1559"/>
      <c r="N6" s="1559"/>
      <c r="O6" s="27"/>
    </row>
    <row r="7" spans="1:15">
      <c r="C7" s="24" t="s">
        <v>897</v>
      </c>
      <c r="D7" s="24" t="s">
        <v>675</v>
      </c>
      <c r="E7" s="1559" t="s">
        <v>678</v>
      </c>
      <c r="F7" s="1559"/>
      <c r="G7" s="1559"/>
      <c r="H7" s="1559"/>
      <c r="I7" s="1559"/>
      <c r="J7" s="1559" t="s">
        <v>681</v>
      </c>
      <c r="K7" s="1559"/>
      <c r="L7" s="1559"/>
      <c r="M7" s="1559"/>
      <c r="N7" s="1559"/>
      <c r="O7" s="27" t="s">
        <v>691</v>
      </c>
    </row>
    <row r="8" spans="1:15">
      <c r="C8" s="24"/>
      <c r="D8" s="24" t="s">
        <v>652</v>
      </c>
      <c r="E8" s="1559" t="s">
        <v>653</v>
      </c>
      <c r="F8" s="1559"/>
      <c r="G8" s="1559"/>
      <c r="H8" s="1559"/>
      <c r="I8" s="1559"/>
      <c r="J8" s="1559" t="s">
        <v>685</v>
      </c>
      <c r="K8" s="1559"/>
      <c r="L8" s="1559"/>
      <c r="M8" s="1559"/>
      <c r="N8" s="1559"/>
      <c r="O8" s="27"/>
    </row>
    <row r="9" spans="1:15">
      <c r="C9" s="24" t="s">
        <v>673</v>
      </c>
      <c r="D9" s="24" t="s">
        <v>676</v>
      </c>
      <c r="E9" s="1559" t="s">
        <v>679</v>
      </c>
      <c r="F9" s="1559"/>
      <c r="G9" s="1559"/>
      <c r="H9" s="1559"/>
      <c r="I9" s="1559"/>
      <c r="J9" s="1559" t="s">
        <v>682</v>
      </c>
      <c r="K9" s="1559"/>
      <c r="L9" s="1559"/>
      <c r="M9" s="1559"/>
      <c r="N9" s="1559"/>
      <c r="O9" s="27"/>
    </row>
    <row r="10" spans="1:15" s="12" customFormat="1" ht="47.25">
      <c r="A10" s="30" t="s">
        <v>684</v>
      </c>
      <c r="B10"/>
      <c r="C10" s="27" t="s">
        <v>690</v>
      </c>
      <c r="E10" s="24" t="s">
        <v>686</v>
      </c>
      <c r="F10" s="498" t="s">
        <v>687</v>
      </c>
      <c r="G10" s="24" t="s">
        <v>688</v>
      </c>
      <c r="H10" s="24" t="s">
        <v>87</v>
      </c>
      <c r="I10" s="498" t="s">
        <v>689</v>
      </c>
      <c r="J10" s="24" t="s">
        <v>686</v>
      </c>
      <c r="K10" s="165" t="s">
        <v>687</v>
      </c>
      <c r="L10" s="24" t="s">
        <v>688</v>
      </c>
      <c r="M10" s="24" t="s">
        <v>87</v>
      </c>
      <c r="N10" s="165" t="s">
        <v>689</v>
      </c>
      <c r="O10" s="27" t="s">
        <v>643</v>
      </c>
    </row>
    <row r="11" spans="1:15">
      <c r="C11" s="68">
        <f>E26</f>
        <v>0</v>
      </c>
      <c r="D11" s="68">
        <v>0.8</v>
      </c>
      <c r="E11" s="27">
        <v>1515</v>
      </c>
      <c r="F11" s="499">
        <v>92</v>
      </c>
      <c r="G11" s="27">
        <v>2.7</v>
      </c>
      <c r="H11" s="27">
        <v>7.0000000000000007E-2</v>
      </c>
      <c r="I11" s="499">
        <v>2.5</v>
      </c>
      <c r="J11" s="68">
        <f>C11*D11*E11</f>
        <v>0</v>
      </c>
      <c r="K11" s="168">
        <f>C11*D11*F11</f>
        <v>0</v>
      </c>
      <c r="L11" s="68">
        <f>C11*D11*G11</f>
        <v>0</v>
      </c>
      <c r="M11" s="130">
        <f>C11*D11*H11</f>
        <v>0</v>
      </c>
      <c r="N11" s="168">
        <f>C11*D11*I11</f>
        <v>0</v>
      </c>
      <c r="O11" s="68">
        <f>(J11+(L11*'GHG emissions'!C26)+(M11*'GHG emissions'!C27))/1000</f>
        <v>0</v>
      </c>
    </row>
    <row r="17" spans="2:5">
      <c r="B17" t="s">
        <v>792</v>
      </c>
      <c r="C17" t="s">
        <v>895</v>
      </c>
      <c r="D17" t="s">
        <v>894</v>
      </c>
      <c r="E17" t="s">
        <v>896</v>
      </c>
    </row>
    <row r="18" spans="2:5">
      <c r="B18" t="str">
        <f>INPUTS!D69</f>
        <v>Purchased</v>
      </c>
      <c r="C18" s="39" t="e">
        <f>VLOOKUP(B18,crop_parameters,8, FALSE)</f>
        <v>#N/A</v>
      </c>
      <c r="D18" s="39">
        <f>INPUTS!G84</f>
        <v>0</v>
      </c>
      <c r="E18" s="39" t="str">
        <f>IF(ISERROR(D18*C18*'Land requirements'!F4),"",(D18*C18*'Land requirements'!F4))</f>
        <v/>
      </c>
    </row>
    <row r="19" spans="2:5">
      <c r="B19" t="str">
        <f>INPUTS!D70</f>
        <v>Pennisetum purpureum</v>
      </c>
      <c r="C19" s="39" t="e">
        <f>VLOOKUP(B19,crop_parameters,8, FALSE)</f>
        <v>#N/A</v>
      </c>
      <c r="D19" s="39">
        <f>INPUTS!G85</f>
        <v>0</v>
      </c>
      <c r="E19" s="39" t="str">
        <f>IF(ISERROR(D19*C19*'Land requirements'!F5),"",(D19*C19*'Land requirements'!F5))</f>
        <v/>
      </c>
    </row>
    <row r="20" spans="2:5">
      <c r="B20" t="str">
        <f>INPUTS!D71</f>
        <v>Rhodes</v>
      </c>
      <c r="C20" s="39" t="e">
        <f>VLOOKUP(B20,crop_parameters,8, FALSE)</f>
        <v>#N/A</v>
      </c>
      <c r="D20" s="39">
        <f>INPUTS!G86</f>
        <v>0</v>
      </c>
      <c r="E20" s="39" t="str">
        <f>IF(ISERROR(D20*C20*'Land requirements'!F6),"",(D20*C20*'Land requirements'!F6))</f>
        <v/>
      </c>
    </row>
    <row r="21" spans="2:5">
      <c r="B21" t="str">
        <f>INPUTS!D72</f>
        <v>Guatemala</v>
      </c>
      <c r="C21" s="39" t="str">
        <f t="shared" ref="C21:C24" si="0">IFERROR(VLOOKUP(B21,crop_parameters,8, FALSE), "")</f>
        <v/>
      </c>
      <c r="D21" s="39">
        <f>INPUTS!G87</f>
        <v>0</v>
      </c>
      <c r="E21" s="39" t="str">
        <f>IF(ISERROR(D21*C21*'Land requirements'!F7),"",(D21*C21*'Land requirements'!F7))</f>
        <v/>
      </c>
    </row>
    <row r="22" spans="2:5">
      <c r="B22" t="str">
        <f>INPUTS!D73</f>
        <v>Maize</v>
      </c>
      <c r="C22" s="39">
        <f t="shared" si="0"/>
        <v>3.5824421538461535</v>
      </c>
      <c r="D22" s="39">
        <f>INPUTS!G88</f>
        <v>0</v>
      </c>
      <c r="E22" s="39">
        <f>IF(ISERROR(D22*C22*'Land requirements'!F8),"",(D22*C22*'Land requirements'!F8))</f>
        <v>0</v>
      </c>
    </row>
    <row r="23" spans="2:5">
      <c r="B23" t="str">
        <f>INPUTS!D74</f>
        <v>Natural pasture</v>
      </c>
      <c r="C23" s="39">
        <f t="shared" si="0"/>
        <v>4.9999999999999982</v>
      </c>
      <c r="D23" s="39">
        <f>INPUTS!G89</f>
        <v>0</v>
      </c>
      <c r="E23" s="39">
        <f>IF(ISERROR(D23*C23*'Land requirements'!F9),"",(D23*C23*'Land requirements'!F9))</f>
        <v>0</v>
      </c>
    </row>
    <row r="24" spans="2:5">
      <c r="B24" t="str">
        <f>INPUTS!D75</f>
        <v>N/A</v>
      </c>
      <c r="C24" s="39">
        <f t="shared" si="0"/>
        <v>0</v>
      </c>
      <c r="D24" s="39">
        <f>INPUTS!G90</f>
        <v>0</v>
      </c>
      <c r="E24" s="39">
        <f>IF(ISERROR(D24*C24*'Land requirements'!F10),"",(D24*C24*'Land requirements'!F10))</f>
        <v>0</v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1027</v>
      </c>
    </row>
    <row r="4" spans="1:5">
      <c r="A4" t="s">
        <v>1028</v>
      </c>
      <c r="B4" t="s">
        <v>1029</v>
      </c>
      <c r="C4" t="s">
        <v>1030</v>
      </c>
      <c r="D4" t="s">
        <v>1031</v>
      </c>
    </row>
    <row r="5" spans="1:5">
      <c r="A5" s="9" t="s">
        <v>1032</v>
      </c>
      <c r="B5">
        <f>INPUTS!D102</f>
        <v>5</v>
      </c>
      <c r="C5">
        <v>0.78500000000000003</v>
      </c>
      <c r="D5" s="39">
        <f>C5*B5</f>
        <v>3.9250000000000003</v>
      </c>
    </row>
    <row r="6" spans="1:5">
      <c r="A6" s="9" t="s">
        <v>1033</v>
      </c>
      <c r="B6">
        <f>INPUTS!D103</f>
        <v>0</v>
      </c>
      <c r="C6">
        <f>E16</f>
        <v>2.3382000000000001</v>
      </c>
      <c r="D6" s="39">
        <f>C6*B6</f>
        <v>0</v>
      </c>
    </row>
    <row r="7" spans="1:5">
      <c r="A7" s="9" t="s">
        <v>1034</v>
      </c>
      <c r="B7">
        <f>INPUTS!D104</f>
        <v>0</v>
      </c>
      <c r="C7">
        <f>E15</f>
        <v>0.504</v>
      </c>
      <c r="D7" s="39">
        <f>C7*B7</f>
        <v>0</v>
      </c>
    </row>
    <row r="8" spans="1:5">
      <c r="A8" s="9" t="s">
        <v>1035</v>
      </c>
      <c r="B8">
        <f>INPUTS!D105</f>
        <v>0</v>
      </c>
      <c r="C8">
        <v>1.21</v>
      </c>
      <c r="D8" s="39">
        <f>C8*B8</f>
        <v>0</v>
      </c>
    </row>
    <row r="9" spans="1:5">
      <c r="A9" s="9" t="s">
        <v>1038</v>
      </c>
      <c r="B9">
        <f>INPUTS!D106</f>
        <v>0</v>
      </c>
      <c r="D9" s="39">
        <f>C9*B9</f>
        <v>0</v>
      </c>
      <c r="E9" s="305" t="s">
        <v>1045</v>
      </c>
    </row>
    <row r="10" spans="1:5">
      <c r="C10" s="305" t="s">
        <v>209</v>
      </c>
      <c r="D10" s="306">
        <f>SUM(D5:D9)</f>
        <v>3.9250000000000003</v>
      </c>
      <c r="E10" s="306">
        <f>D10/'Land requirements'!F11</f>
        <v>2.2247578280780442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1040</v>
      </c>
      <c r="C14" t="s">
        <v>1041</v>
      </c>
      <c r="D14" t="s">
        <v>1042</v>
      </c>
      <c r="E14" s="39" t="s">
        <v>1043</v>
      </c>
    </row>
    <row r="15" spans="1:5">
      <c r="A15" t="s">
        <v>1039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1033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655" t="s">
        <v>168</v>
      </c>
      <c r="D3" s="1655"/>
      <c r="E3" s="1655" t="s">
        <v>169</v>
      </c>
      <c r="F3" s="1655"/>
      <c r="G3" s="1655"/>
      <c r="H3" s="1699" t="s">
        <v>170</v>
      </c>
      <c r="I3" s="1699"/>
      <c r="J3" s="1699"/>
      <c r="K3" s="1699" t="s">
        <v>169</v>
      </c>
      <c r="L3" s="1699"/>
      <c r="M3" s="64" t="s">
        <v>168</v>
      </c>
    </row>
    <row r="4" spans="1:13" s="10" customFormat="1" ht="141.75">
      <c r="A4" s="108" t="s">
        <v>627</v>
      </c>
      <c r="B4" s="108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2" customFormat="1" ht="31.5">
      <c r="A5" s="109"/>
      <c r="B5" s="109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0" t="s">
        <v>154</v>
      </c>
      <c r="I5" s="100" t="s">
        <v>153</v>
      </c>
      <c r="J5" s="100" t="s">
        <v>153</v>
      </c>
      <c r="K5" s="100" t="s">
        <v>153</v>
      </c>
      <c r="L5" s="100" t="s">
        <v>152</v>
      </c>
      <c r="M5" s="101" t="s">
        <v>151</v>
      </c>
    </row>
    <row r="6" spans="1:13" s="102" customFormat="1" ht="31.5">
      <c r="A6" s="109"/>
      <c r="B6" s="109"/>
      <c r="C6" s="86"/>
      <c r="D6" s="86"/>
      <c r="E6" s="86" t="s">
        <v>150</v>
      </c>
      <c r="F6" s="86" t="s">
        <v>149</v>
      </c>
      <c r="G6" s="86" t="s">
        <v>148</v>
      </c>
      <c r="H6" s="103"/>
      <c r="I6" s="103" t="s">
        <v>147</v>
      </c>
      <c r="J6" s="103" t="s">
        <v>146</v>
      </c>
      <c r="K6" s="103"/>
      <c r="L6" s="103" t="s">
        <v>203</v>
      </c>
      <c r="M6" s="104" t="s">
        <v>145</v>
      </c>
    </row>
    <row r="7" spans="1:13" s="102" customFormat="1" ht="16.5" thickBot="1">
      <c r="A7" s="110"/>
      <c r="B7" s="110" t="s">
        <v>626</v>
      </c>
      <c r="C7" s="105" t="s">
        <v>144</v>
      </c>
      <c r="D7" s="105" t="s">
        <v>143</v>
      </c>
      <c r="E7" s="105" t="s">
        <v>142</v>
      </c>
      <c r="F7" s="105" t="s">
        <v>141</v>
      </c>
      <c r="G7" s="105" t="s">
        <v>140</v>
      </c>
      <c r="H7" s="105" t="s">
        <v>139</v>
      </c>
      <c r="I7" s="105" t="s">
        <v>138</v>
      </c>
      <c r="J7" s="105" t="s">
        <v>137</v>
      </c>
      <c r="K7" s="106" t="s">
        <v>136</v>
      </c>
      <c r="L7" s="106" t="s">
        <v>135</v>
      </c>
      <c r="M7" s="107" t="s">
        <v>134</v>
      </c>
    </row>
    <row r="8" spans="1:13" ht="17.25" thickTop="1" thickBot="1">
      <c r="A8" s="111" t="s">
        <v>621</v>
      </c>
      <c r="B8" s="4" t="str">
        <f>INPUTS!E111</f>
        <v xml:space="preserve">None </v>
      </c>
      <c r="C8" s="3">
        <f>INPUTS!E109</f>
        <v>0</v>
      </c>
      <c r="D8" s="3">
        <f>INPUTS!E110</f>
        <v>0</v>
      </c>
      <c r="E8" s="82">
        <f>'GHG Parameters'!C$314</f>
        <v>1.3</v>
      </c>
      <c r="F8" s="82">
        <f>VLOOKUP(B8,A$53:B$60,2,FALSE)</f>
        <v>0</v>
      </c>
      <c r="G8" s="82">
        <f>IFERROR(VLOOKUP(INPUTS!E112,'GHG Rice'!A65:B68,2,FALSE), "")</f>
        <v>1</v>
      </c>
      <c r="H8" s="3">
        <f>INPUTS!E114</f>
        <v>0</v>
      </c>
      <c r="I8" s="82">
        <f>IFERROR(VLOOKUP(INPUTS!E113,'GHG Rice'!A$42:B$47, 2, FALSE), 0)</f>
        <v>0.05</v>
      </c>
      <c r="J8" s="131">
        <f>IFERROR((1+H8*I8)^0.59, 0)</f>
        <v>1</v>
      </c>
      <c r="K8" s="3">
        <v>1</v>
      </c>
      <c r="L8" s="131">
        <f>E8*F8*G8*J8*K8</f>
        <v>0</v>
      </c>
      <c r="M8" s="132">
        <f>IF(ISERROR(C8*D8*L8),"",C8*D8*L8)</f>
        <v>0</v>
      </c>
    </row>
    <row r="9" spans="1:13" ht="17.25" thickTop="1" thickBot="1">
      <c r="A9" s="111" t="s">
        <v>622</v>
      </c>
      <c r="B9" s="4" t="str">
        <f>INPUTS!F111</f>
        <v xml:space="preserve">None </v>
      </c>
      <c r="C9" s="3">
        <f>INPUTS!F109</f>
        <v>0</v>
      </c>
      <c r="D9" s="3">
        <f>INPUTS!F110</f>
        <v>0</v>
      </c>
      <c r="E9" s="82">
        <f>'GHG Parameters'!C$314</f>
        <v>1.3</v>
      </c>
      <c r="F9" s="82">
        <f>VLOOKUP(B9,A$53:B$60,2,FALSE)</f>
        <v>0</v>
      </c>
      <c r="G9" s="82">
        <f>IFERROR(VLOOKUP(INPUTS!F112,'GHG Rice'!A65:B68,2,FALSE), 0)</f>
        <v>0</v>
      </c>
      <c r="H9" s="13">
        <f>INPUTS!F114</f>
        <v>0</v>
      </c>
      <c r="I9" s="82">
        <f>IFERROR(VLOOKUP(INPUTS!F113,'GHG Rice'!A$42:B$47, 2, FALSE), 0)</f>
        <v>0</v>
      </c>
      <c r="J9" s="131">
        <f>IFERROR((1+H9*I9)^0.59, 0)</f>
        <v>1</v>
      </c>
      <c r="K9" s="13">
        <v>1</v>
      </c>
      <c r="L9" s="131">
        <f>E9*F9*G9*J9*K9</f>
        <v>0</v>
      </c>
      <c r="M9" s="132">
        <f>IF(ISERROR(C9*D9*L9),"",C9*D9*L9)</f>
        <v>0</v>
      </c>
    </row>
    <row r="10" spans="1:13" ht="17.25" thickTop="1" thickBot="1">
      <c r="A10" s="111" t="s">
        <v>623</v>
      </c>
      <c r="B10" s="4" t="str">
        <f>INPUTS!G111</f>
        <v xml:space="preserve">None </v>
      </c>
      <c r="C10" s="3">
        <f>INPUTS!G109</f>
        <v>0</v>
      </c>
      <c r="D10" s="3">
        <f>INPUTS!G110</f>
        <v>0</v>
      </c>
      <c r="E10" s="82">
        <f>'GHG Parameters'!C$314</f>
        <v>1.3</v>
      </c>
      <c r="F10" s="82">
        <f>VLOOKUP(B10,A$53:B$60,2,FALSE)</f>
        <v>0</v>
      </c>
      <c r="G10" s="82">
        <f>IFERROR(VLOOKUP(INPUTS!G112,'GHG Rice'!A65:B68,2,FALSE), 0)</f>
        <v>0</v>
      </c>
      <c r="H10" s="13">
        <f>INPUTS!G114</f>
        <v>0</v>
      </c>
      <c r="I10" s="82">
        <f>IFERROR(VLOOKUP(INPUTS!G113,'GHG Rice'!A$42:B$47, 2, FALSE), 0)</f>
        <v>0</v>
      </c>
      <c r="J10" s="131">
        <f>IFERROR((1+H10*I10)^0.59, 0)</f>
        <v>1</v>
      </c>
      <c r="K10" s="13">
        <v>1</v>
      </c>
      <c r="L10" s="131">
        <f>E10*F10*G10*J10*K10</f>
        <v>0</v>
      </c>
      <c r="M10" s="132">
        <f>IF(ISERROR(C10*D10*L10),"",C10*D10*L10)</f>
        <v>0</v>
      </c>
    </row>
    <row r="11" spans="1:13" ht="15.75" customHeight="1" thickTop="1" thickBot="1">
      <c r="A11" s="111" t="s">
        <v>624</v>
      </c>
      <c r="B11" s="4" t="str">
        <f>INPUTS!H111</f>
        <v xml:space="preserve">None </v>
      </c>
      <c r="C11" s="3">
        <f>INPUTS!H109</f>
        <v>0</v>
      </c>
      <c r="D11" s="3">
        <f>INPUTS!H110</f>
        <v>0</v>
      </c>
      <c r="E11" s="82">
        <f>'GHG Parameters'!C$314</f>
        <v>1.3</v>
      </c>
      <c r="F11" s="82">
        <f>VLOOKUP(B11,A$53:B$60,2,FALSE)</f>
        <v>0</v>
      </c>
      <c r="G11" s="82">
        <f>IFERROR(VLOOKUP(INPUTS!H112,'GHG Rice'!A65:B68,2,FALSE), 0)</f>
        <v>0</v>
      </c>
      <c r="H11" s="13">
        <f>INPUTS!H114</f>
        <v>0</v>
      </c>
      <c r="I11" s="82">
        <f>IFERROR(VLOOKUP(INPUTS!H113,'GHG Rice'!A$42:B$47, 2, FALSE), 0)</f>
        <v>0</v>
      </c>
      <c r="J11" s="131">
        <f>IFERROR((1+H11*I11)^0.59, 0)</f>
        <v>1</v>
      </c>
      <c r="K11" s="13">
        <v>1</v>
      </c>
      <c r="L11" s="131">
        <f>E11*F11*G11*J11*K11</f>
        <v>0</v>
      </c>
      <c r="M11" s="132">
        <f>IF(ISERROR(C11*D11*L11),"",C11*D11*L11)</f>
        <v>0</v>
      </c>
    </row>
    <row r="12" spans="1:13" ht="16.5" thickTop="1">
      <c r="A12" s="111" t="s">
        <v>625</v>
      </c>
      <c r="B12" s="4" t="str">
        <f>INPUTS!I111</f>
        <v xml:space="preserve">None </v>
      </c>
      <c r="C12" s="3">
        <f>INPUTS!I109</f>
        <v>0</v>
      </c>
      <c r="D12" s="3">
        <f>INPUTS!I110</f>
        <v>0</v>
      </c>
      <c r="E12" s="82">
        <f>'GHG Parameters'!C$314</f>
        <v>1.3</v>
      </c>
      <c r="F12" s="82">
        <f>VLOOKUP(B12,A$53:B$60,2,FALSE)</f>
        <v>0</v>
      </c>
      <c r="G12" s="82">
        <f>IFERROR(VLOOKUP(INPUTS!I112,'GHG Rice'!A65:B68,2,FALSE), 0)</f>
        <v>0</v>
      </c>
      <c r="H12" s="13">
        <f>INPUTS!I114</f>
        <v>0</v>
      </c>
      <c r="I12" s="82">
        <f>IFERROR(VLOOKUP(INPUTS!I113,'GHG Rice'!A$42:B$47, 2, FALSE), 0)</f>
        <v>0</v>
      </c>
      <c r="J12" s="131">
        <f>IFERROR((1+H12*I12)^0.59, 0)</f>
        <v>1</v>
      </c>
      <c r="K12" s="13">
        <v>1</v>
      </c>
      <c r="L12" s="131">
        <f>E12*F12*G12*J12*K12</f>
        <v>0</v>
      </c>
      <c r="M12" s="132">
        <f>IF(ISERROR(C12*D12*L12),"",C12*D12*L12)</f>
        <v>0</v>
      </c>
    </row>
    <row r="13" spans="1:13">
      <c r="A13" s="1696" t="s">
        <v>132</v>
      </c>
      <c r="B13" s="1697"/>
      <c r="C13" s="1697"/>
      <c r="D13" s="1697"/>
      <c r="E13" s="1697"/>
      <c r="F13" s="1697"/>
      <c r="G13" s="1697"/>
      <c r="H13" s="1697"/>
      <c r="I13" s="1697"/>
      <c r="J13" s="1697"/>
      <c r="K13" s="1697"/>
      <c r="L13" s="1698"/>
      <c r="M13" s="133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572" t="s">
        <v>174</v>
      </c>
      <c r="B20" s="16" t="s">
        <v>692</v>
      </c>
      <c r="C20" s="121">
        <v>0.78</v>
      </c>
      <c r="D20" s="13">
        <v>1</v>
      </c>
    </row>
    <row r="21" spans="1:4">
      <c r="A21" s="1572"/>
      <c r="B21" s="16" t="s">
        <v>177</v>
      </c>
      <c r="C21" s="122"/>
      <c r="D21" s="13">
        <v>0.6</v>
      </c>
    </row>
    <row r="22" spans="1:4">
      <c r="A22" s="1572"/>
      <c r="B22" s="16" t="s">
        <v>178</v>
      </c>
      <c r="C22" s="3"/>
      <c r="D22" s="13">
        <v>0.52</v>
      </c>
    </row>
    <row r="23" spans="1:4">
      <c r="A23" s="1559" t="s">
        <v>175</v>
      </c>
      <c r="B23" s="16" t="s">
        <v>693</v>
      </c>
      <c r="C23" s="121">
        <v>0.27</v>
      </c>
      <c r="D23" s="13">
        <v>0.28000000000000003</v>
      </c>
    </row>
    <row r="24" spans="1:4">
      <c r="A24" s="1559"/>
      <c r="B24" s="16" t="s">
        <v>694</v>
      </c>
      <c r="C24" s="122"/>
      <c r="D24" s="13">
        <v>0.25</v>
      </c>
    </row>
    <row r="25" spans="1:4">
      <c r="A25" s="1559"/>
      <c r="B25" s="16" t="s">
        <v>695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4" t="s">
        <v>697</v>
      </c>
      <c r="C34" s="3"/>
      <c r="D34" s="3">
        <v>1.9</v>
      </c>
    </row>
    <row r="35" spans="1:4">
      <c r="B35" s="17" t="s">
        <v>696</v>
      </c>
      <c r="C35" s="13"/>
      <c r="D35" s="13">
        <v>0</v>
      </c>
    </row>
    <row r="36" spans="1:4">
      <c r="B36" t="s">
        <v>189</v>
      </c>
    </row>
    <row r="38" spans="1:4">
      <c r="A38" s="125" t="s">
        <v>194</v>
      </c>
      <c r="B38" s="125"/>
    </row>
    <row r="39" spans="1:4">
      <c r="A39" s="125" t="s">
        <v>195</v>
      </c>
      <c r="B39" s="125"/>
    </row>
    <row r="40" spans="1:4">
      <c r="A40" s="125"/>
      <c r="B40" s="125"/>
    </row>
    <row r="41" spans="1:4">
      <c r="A41" s="129" t="s">
        <v>202</v>
      </c>
      <c r="B41" s="135" t="s">
        <v>196</v>
      </c>
    </row>
    <row r="42" spans="1:4" ht="31.5">
      <c r="A42" s="128" t="s">
        <v>197</v>
      </c>
      <c r="B42" s="129">
        <v>1</v>
      </c>
    </row>
    <row r="43" spans="1:4" ht="31.5">
      <c r="A43" s="128" t="s">
        <v>198</v>
      </c>
      <c r="B43" s="129">
        <v>0.28999999999999998</v>
      </c>
    </row>
    <row r="44" spans="1:4">
      <c r="A44" s="128" t="s">
        <v>199</v>
      </c>
      <c r="B44" s="129">
        <v>0.05</v>
      </c>
    </row>
    <row r="45" spans="1:4">
      <c r="A45" s="128" t="s">
        <v>200</v>
      </c>
      <c r="B45" s="129">
        <v>0.14000000000000001</v>
      </c>
    </row>
    <row r="46" spans="1:4">
      <c r="A46" s="129" t="s">
        <v>201</v>
      </c>
      <c r="B46" s="129">
        <v>0.5</v>
      </c>
    </row>
    <row r="47" spans="1:4">
      <c r="A47" s="128" t="s">
        <v>204</v>
      </c>
      <c r="B47" s="129">
        <v>0</v>
      </c>
    </row>
    <row r="51" spans="1:2">
      <c r="A51" s="125" t="s">
        <v>699</v>
      </c>
      <c r="B51" s="125"/>
    </row>
    <row r="52" spans="1:2">
      <c r="A52" s="125" t="s">
        <v>700</v>
      </c>
      <c r="B52" s="125"/>
    </row>
    <row r="53" spans="1:2">
      <c r="A53" s="125" t="s">
        <v>790</v>
      </c>
      <c r="B53" s="125">
        <v>0</v>
      </c>
    </row>
    <row r="54" spans="1:2">
      <c r="A54" s="126" t="s">
        <v>133</v>
      </c>
      <c r="B54" s="127">
        <v>0</v>
      </c>
    </row>
    <row r="55" spans="1:2">
      <c r="A55" s="126" t="s">
        <v>694</v>
      </c>
      <c r="B55" s="127">
        <v>0.25</v>
      </c>
    </row>
    <row r="56" spans="1:2">
      <c r="A56" s="126" t="s">
        <v>693</v>
      </c>
      <c r="B56" s="127">
        <v>0.28000000000000003</v>
      </c>
    </row>
    <row r="57" spans="1:2">
      <c r="A57" s="126" t="s">
        <v>695</v>
      </c>
      <c r="B57" s="127">
        <v>0.31</v>
      </c>
    </row>
    <row r="58" spans="1:2">
      <c r="A58" s="126" t="s">
        <v>178</v>
      </c>
      <c r="B58" s="127">
        <v>0.52</v>
      </c>
    </row>
    <row r="59" spans="1:2">
      <c r="A59" s="126" t="s">
        <v>698</v>
      </c>
      <c r="B59" s="127">
        <v>0.6</v>
      </c>
    </row>
    <row r="60" spans="1:2">
      <c r="A60" s="126" t="s">
        <v>692</v>
      </c>
      <c r="B60" s="127">
        <v>1</v>
      </c>
    </row>
    <row r="64" spans="1:2">
      <c r="A64" s="128" t="s">
        <v>187</v>
      </c>
      <c r="B64" s="129"/>
    </row>
    <row r="65" spans="1:2" ht="31.5">
      <c r="A65" s="128" t="s">
        <v>190</v>
      </c>
      <c r="B65" s="129">
        <v>1</v>
      </c>
    </row>
    <row r="66" spans="1:2" ht="31.5">
      <c r="A66" s="128" t="s">
        <v>191</v>
      </c>
      <c r="B66" s="129">
        <v>0.68</v>
      </c>
    </row>
    <row r="67" spans="1:2">
      <c r="A67" s="128" t="s">
        <v>697</v>
      </c>
      <c r="B67" s="129">
        <v>1.9</v>
      </c>
    </row>
    <row r="68" spans="1:2">
      <c r="A68" s="128" t="s">
        <v>696</v>
      </c>
      <c r="B68" s="129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A5" sqref="A5"/>
    </sheetView>
  </sheetViews>
  <sheetFormatPr defaultRowHeight="15.75"/>
  <sheetData>
    <row r="1" spans="1:19" ht="63">
      <c r="A1" s="948" t="s">
        <v>1860</v>
      </c>
      <c r="B1" s="948" t="s">
        <v>1742</v>
      </c>
      <c r="C1" s="948" t="s">
        <v>1743</v>
      </c>
      <c r="D1" s="948" t="s">
        <v>1744</v>
      </c>
      <c r="E1" s="953" t="s">
        <v>1745</v>
      </c>
      <c r="F1" s="948" t="s">
        <v>1746</v>
      </c>
      <c r="G1" s="948" t="s">
        <v>1747</v>
      </c>
      <c r="H1" s="948" t="s">
        <v>1748</v>
      </c>
      <c r="I1" s="948" t="s">
        <v>1749</v>
      </c>
      <c r="J1" s="948" t="s">
        <v>1750</v>
      </c>
      <c r="K1" s="948" t="s">
        <v>1751</v>
      </c>
      <c r="L1" s="948" t="s">
        <v>1752</v>
      </c>
      <c r="M1" s="948" t="s">
        <v>1753</v>
      </c>
      <c r="N1" s="948" t="s">
        <v>1754</v>
      </c>
      <c r="O1" s="949" t="s">
        <v>1755</v>
      </c>
      <c r="P1" s="949" t="s">
        <v>1756</v>
      </c>
      <c r="Q1" s="949" t="s">
        <v>1757</v>
      </c>
      <c r="R1" s="949" t="s">
        <v>1758</v>
      </c>
      <c r="S1" s="949" t="s">
        <v>1759</v>
      </c>
    </row>
    <row r="2" spans="1:19">
      <c r="A2" s="948"/>
      <c r="B2" s="951"/>
      <c r="C2" s="952"/>
      <c r="D2" s="954">
        <f t="shared" ref="D2:D5" si="0">B2*C2</f>
        <v>0</v>
      </c>
      <c r="E2" s="952"/>
      <c r="F2" s="952"/>
      <c r="G2" s="952"/>
      <c r="H2" s="949">
        <f>F2+E2*G2</f>
        <v>0</v>
      </c>
      <c r="I2" s="955">
        <f t="shared" ref="I2:I3" si="1">IFERROR(EXP(-1.996+2.32*LN(F2)),0)</f>
        <v>0</v>
      </c>
      <c r="J2" s="956">
        <f t="shared" ref="J2:J3" si="2">IFERROR(EXP(-1.996+2.32*LN(H2)),0)</f>
        <v>0</v>
      </c>
      <c r="K2" s="955">
        <f t="shared" ref="K2:K8" si="3">(J2-I2)*D2/1000</f>
        <v>0</v>
      </c>
      <c r="L2" s="955">
        <f t="shared" ref="L2:L3" si="4">IFERROR(K2/E2,0)</f>
        <v>0</v>
      </c>
      <c r="M2" s="957">
        <v>0.48</v>
      </c>
      <c r="N2" s="955">
        <f t="shared" ref="N2:N8" si="5">L2*M2</f>
        <v>0</v>
      </c>
      <c r="O2" s="958">
        <f t="shared" ref="O2:O8" si="6">N2*44/12</f>
        <v>0</v>
      </c>
      <c r="P2" s="958">
        <f t="shared" ref="P2:Q8" si="7">N2*0.25</f>
        <v>0</v>
      </c>
      <c r="Q2" s="958">
        <f t="shared" si="7"/>
        <v>0</v>
      </c>
      <c r="R2" s="958">
        <f t="shared" ref="R2:S8" si="8">N2+P2</f>
        <v>0</v>
      </c>
      <c r="S2" s="958">
        <f t="shared" si="8"/>
        <v>0</v>
      </c>
    </row>
    <row r="3" spans="1:19">
      <c r="A3" s="948"/>
      <c r="B3" s="951">
        <f>'Land requirements'!F11</f>
        <v>1.7642369656884345</v>
      </c>
      <c r="C3" s="952">
        <v>15</v>
      </c>
      <c r="D3" s="954">
        <f t="shared" si="0"/>
        <v>26.463554485326519</v>
      </c>
      <c r="E3" s="952">
        <v>12</v>
      </c>
      <c r="F3" s="952">
        <v>20</v>
      </c>
      <c r="G3" s="952">
        <v>2</v>
      </c>
      <c r="H3" s="949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955">
        <f t="shared" si="3"/>
        <v>19.615859797848149</v>
      </c>
      <c r="L3" s="45">
        <f t="shared" si="4"/>
        <v>1.6346549831540125</v>
      </c>
      <c r="M3" s="951">
        <v>0.48</v>
      </c>
      <c r="N3" s="45">
        <f t="shared" si="5"/>
        <v>0.78463439191392592</v>
      </c>
      <c r="O3" s="76">
        <f t="shared" si="6"/>
        <v>2.876992770351062</v>
      </c>
      <c r="P3" s="76">
        <f t="shared" si="7"/>
        <v>0.19615859797848148</v>
      </c>
      <c r="Q3" s="76">
        <f t="shared" si="7"/>
        <v>0.71924819258776551</v>
      </c>
      <c r="R3" s="76">
        <f t="shared" si="8"/>
        <v>0.98079298989240737</v>
      </c>
      <c r="S3" s="76">
        <f t="shared" si="8"/>
        <v>3.5962409629388277</v>
      </c>
    </row>
    <row r="4" spans="1:19">
      <c r="A4" s="948"/>
      <c r="B4" s="951"/>
      <c r="C4" s="952"/>
      <c r="D4" s="954">
        <f t="shared" si="0"/>
        <v>0</v>
      </c>
      <c r="E4" s="952"/>
      <c r="F4" s="952"/>
      <c r="G4" s="952"/>
      <c r="H4" s="949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951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948"/>
      <c r="B5" s="951"/>
      <c r="C5" s="952"/>
      <c r="D5" s="954">
        <f t="shared" si="0"/>
        <v>0</v>
      </c>
      <c r="E5" s="952"/>
      <c r="F5" s="952"/>
      <c r="G5" s="952"/>
      <c r="H5" s="949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951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948"/>
      <c r="B6" s="951"/>
      <c r="C6" s="952"/>
      <c r="D6" s="954">
        <f t="shared" ref="D6:D8" si="13">B6*C6</f>
        <v>0</v>
      </c>
      <c r="E6" s="952"/>
      <c r="F6" s="952"/>
      <c r="G6" s="952"/>
      <c r="H6" s="949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951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948"/>
      <c r="B7" s="951"/>
      <c r="C7" s="952"/>
      <c r="D7" s="954">
        <f t="shared" si="13"/>
        <v>0</v>
      </c>
      <c r="E7" s="952"/>
      <c r="F7" s="952"/>
      <c r="G7" s="952"/>
      <c r="H7" s="949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951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948"/>
      <c r="B8" s="951"/>
      <c r="C8" s="952"/>
      <c r="D8" s="954">
        <f t="shared" si="13"/>
        <v>0</v>
      </c>
      <c r="E8" s="952"/>
      <c r="F8" s="952"/>
      <c r="G8" s="952"/>
      <c r="H8" s="949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951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>
        <f t="shared" si="14"/>
        <v>19.615859797848149</v>
      </c>
      <c r="L9" s="45">
        <f t="shared" si="14"/>
        <v>1.6346549831540125</v>
      </c>
      <c r="M9" s="45"/>
      <c r="N9" s="45">
        <f t="shared" ref="N9:S9" si="15">SUM(N2:N8)</f>
        <v>0.78463439191392592</v>
      </c>
      <c r="O9" s="45">
        <f t="shared" si="15"/>
        <v>2.876992770351062</v>
      </c>
      <c r="P9" s="45">
        <f t="shared" si="15"/>
        <v>0.19615859797848148</v>
      </c>
      <c r="Q9" s="45">
        <f t="shared" si="15"/>
        <v>0.71924819258776551</v>
      </c>
      <c r="R9" s="45">
        <f t="shared" si="15"/>
        <v>0.98079298989240737</v>
      </c>
      <c r="S9" s="45">
        <f t="shared" si="15"/>
        <v>3.5962409629388277</v>
      </c>
    </row>
    <row r="10" spans="1:19">
      <c r="A10" s="950"/>
      <c r="B10" s="950"/>
      <c r="C10" s="950"/>
      <c r="D10" s="950"/>
      <c r="E10" s="950"/>
      <c r="F10" s="950"/>
      <c r="G10" s="950"/>
      <c r="H10" s="950"/>
      <c r="I10" s="950"/>
      <c r="J10" s="950"/>
      <c r="K10" s="950"/>
      <c r="L10" s="950"/>
      <c r="M10" s="950"/>
      <c r="N10" s="950"/>
      <c r="O10" s="950"/>
      <c r="P10" s="950"/>
      <c r="Q10" s="950"/>
      <c r="R10" s="950"/>
      <c r="S10" s="950"/>
    </row>
    <row r="11" spans="1:19">
      <c r="A11" s="37" t="s">
        <v>1606</v>
      </c>
      <c r="B11" s="950"/>
      <c r="C11" s="950"/>
      <c r="D11" s="950"/>
      <c r="E11" s="950"/>
      <c r="F11" s="37" t="s">
        <v>1211</v>
      </c>
      <c r="G11" s="950"/>
      <c r="H11" s="950"/>
      <c r="I11" s="950"/>
      <c r="J11" s="950"/>
      <c r="K11" s="950"/>
      <c r="L11" s="950"/>
      <c r="M11" s="950"/>
      <c r="N11" s="950"/>
      <c r="O11" s="950"/>
      <c r="P11" s="950"/>
      <c r="Q11" s="950"/>
      <c r="R11" s="950"/>
      <c r="S11" s="950"/>
    </row>
    <row r="12" spans="1:19">
      <c r="A12" s="950" t="s">
        <v>1761</v>
      </c>
      <c r="B12" s="950" t="s">
        <v>467</v>
      </c>
      <c r="C12" s="950" t="s">
        <v>1762</v>
      </c>
      <c r="D12" s="950" t="s">
        <v>1763</v>
      </c>
      <c r="E12" s="950" t="s">
        <v>1764</v>
      </c>
      <c r="F12" s="950" t="s">
        <v>1761</v>
      </c>
      <c r="G12" s="950" t="s">
        <v>467</v>
      </c>
      <c r="H12" s="950" t="s">
        <v>1762</v>
      </c>
      <c r="I12" s="950" t="s">
        <v>1763</v>
      </c>
      <c r="J12" s="950" t="s">
        <v>1764</v>
      </c>
      <c r="K12" s="950"/>
      <c r="L12" s="950"/>
      <c r="M12" s="950"/>
      <c r="N12" s="950"/>
      <c r="O12" s="950"/>
      <c r="P12" s="950"/>
      <c r="Q12" s="950"/>
      <c r="R12" s="950"/>
      <c r="S12" s="950"/>
    </row>
    <row r="13" spans="1:19">
      <c r="A13" s="950">
        <v>1</v>
      </c>
      <c r="B13" s="950">
        <v>1.25</v>
      </c>
      <c r="C13" s="950">
        <f>0.7*A13</f>
        <v>0.7</v>
      </c>
      <c r="D13" s="851">
        <f>(3.14*((B13/100)/2)^2)*C13*0.5</f>
        <v>4.2929687500000006E-5</v>
      </c>
      <c r="E13" s="39">
        <f>EXP(-1.996+2.32*LN(B13))</f>
        <v>0.2280234143116556</v>
      </c>
      <c r="F13" s="950">
        <v>1</v>
      </c>
      <c r="G13" s="950">
        <v>2</v>
      </c>
      <c r="H13" s="950">
        <f t="shared" ref="H13:H24" si="16">0.7*F13</f>
        <v>0.7</v>
      </c>
      <c r="I13" s="851">
        <f>(3.14*((G13/100)/2)^2)*H13*0.5</f>
        <v>1.099E-4</v>
      </c>
      <c r="J13" s="39">
        <f>EXP(-1.996+2.32*LN(G13))</f>
        <v>0.67848117772544447</v>
      </c>
      <c r="K13" s="950"/>
      <c r="L13" s="950"/>
      <c r="M13" s="950"/>
      <c r="N13" s="950"/>
      <c r="O13" s="950"/>
      <c r="P13" s="950"/>
      <c r="Q13" s="950"/>
      <c r="R13" s="950"/>
      <c r="S13" s="950"/>
    </row>
    <row r="14" spans="1:19">
      <c r="A14" s="950">
        <v>2</v>
      </c>
      <c r="B14" s="950">
        <f>B13+1.25</f>
        <v>2.5</v>
      </c>
      <c r="C14" s="950">
        <f t="shared" ref="C14:C24" si="17">0.7*A14</f>
        <v>1.4</v>
      </c>
      <c r="D14" s="851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950">
        <v>2</v>
      </c>
      <c r="G14" s="950">
        <f>G13+2</f>
        <v>4</v>
      </c>
      <c r="H14" s="950">
        <f t="shared" si="16"/>
        <v>1.4</v>
      </c>
      <c r="I14" s="851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950"/>
      <c r="L14" s="950"/>
      <c r="M14" s="950"/>
      <c r="N14" s="950"/>
      <c r="O14" s="950"/>
      <c r="P14" s="950"/>
      <c r="Q14" s="950"/>
      <c r="R14" s="950"/>
      <c r="S14" s="950"/>
    </row>
    <row r="15" spans="1:19">
      <c r="A15" s="950">
        <v>3</v>
      </c>
      <c r="B15" s="950">
        <f t="shared" ref="B15:B24" si="22">B14+1.25</f>
        <v>3.75</v>
      </c>
      <c r="C15" s="950">
        <f t="shared" si="17"/>
        <v>2.0999999999999996</v>
      </c>
      <c r="D15" s="851">
        <f t="shared" si="18"/>
        <v>1.1591015625E-3</v>
      </c>
      <c r="E15" s="39">
        <f t="shared" si="19"/>
        <v>2.9167604012574082</v>
      </c>
      <c r="F15" s="950">
        <v>3</v>
      </c>
      <c r="G15" s="950">
        <f t="shared" ref="G15:G24" si="23">G14+2</f>
        <v>6</v>
      </c>
      <c r="H15" s="950">
        <f t="shared" si="16"/>
        <v>2.0999999999999996</v>
      </c>
      <c r="I15" s="851">
        <f t="shared" si="20"/>
        <v>2.9672999999999995E-3</v>
      </c>
      <c r="J15" s="39">
        <f t="shared" si="21"/>
        <v>8.6787887031779682</v>
      </c>
      <c r="K15" s="950"/>
      <c r="L15" s="950"/>
      <c r="M15" s="950"/>
      <c r="N15" s="950"/>
      <c r="O15" s="950"/>
      <c r="P15" s="950"/>
      <c r="Q15" s="950"/>
      <c r="R15" s="950"/>
      <c r="S15" s="950"/>
    </row>
    <row r="16" spans="1:19">
      <c r="A16" s="950">
        <v>4</v>
      </c>
      <c r="B16" s="950">
        <f t="shared" si="22"/>
        <v>5</v>
      </c>
      <c r="C16" s="950">
        <f t="shared" si="17"/>
        <v>2.8</v>
      </c>
      <c r="D16" s="851">
        <f t="shared" si="18"/>
        <v>2.7475000000000004E-3</v>
      </c>
      <c r="E16" s="39">
        <f t="shared" si="19"/>
        <v>5.6853685684765791</v>
      </c>
      <c r="F16" s="950">
        <v>4</v>
      </c>
      <c r="G16" s="950">
        <f t="shared" si="23"/>
        <v>8</v>
      </c>
      <c r="H16" s="950">
        <f t="shared" si="16"/>
        <v>2.8</v>
      </c>
      <c r="I16" s="851">
        <f t="shared" si="20"/>
        <v>7.0336000000000001E-3</v>
      </c>
      <c r="J16" s="39">
        <f t="shared" si="21"/>
        <v>16.916752052800213</v>
      </c>
      <c r="K16" s="950"/>
      <c r="L16" s="950"/>
      <c r="M16" s="950"/>
      <c r="N16" s="950"/>
      <c r="O16" s="950"/>
      <c r="P16" s="950"/>
      <c r="Q16" s="950"/>
      <c r="R16" s="950"/>
      <c r="S16" s="950"/>
    </row>
    <row r="17" spans="1:19">
      <c r="A17" s="950">
        <v>5</v>
      </c>
      <c r="B17" s="950">
        <f t="shared" si="22"/>
        <v>6.25</v>
      </c>
      <c r="C17" s="950">
        <f t="shared" si="17"/>
        <v>3.5</v>
      </c>
      <c r="D17" s="851">
        <f t="shared" si="18"/>
        <v>5.3662109375000001E-3</v>
      </c>
      <c r="E17" s="39">
        <f t="shared" si="19"/>
        <v>9.5409112130728211</v>
      </c>
      <c r="F17" s="950">
        <v>5</v>
      </c>
      <c r="G17" s="950">
        <f t="shared" si="23"/>
        <v>10</v>
      </c>
      <c r="H17" s="950">
        <f t="shared" si="16"/>
        <v>3.5</v>
      </c>
      <c r="I17" s="851">
        <f t="shared" si="20"/>
        <v>1.3737500000000001E-2</v>
      </c>
      <c r="J17" s="39">
        <f t="shared" si="21"/>
        <v>28.388877063177365</v>
      </c>
      <c r="K17" s="950"/>
      <c r="L17" s="950"/>
      <c r="M17" s="950"/>
      <c r="N17" s="950"/>
      <c r="O17" s="950"/>
      <c r="P17" s="950"/>
      <c r="Q17" s="950"/>
      <c r="R17" s="950"/>
      <c r="S17" s="950"/>
    </row>
    <row r="18" spans="1:19">
      <c r="A18" s="950">
        <v>6</v>
      </c>
      <c r="B18" s="950">
        <f t="shared" si="22"/>
        <v>7.5</v>
      </c>
      <c r="C18" s="950">
        <f t="shared" si="17"/>
        <v>4.1999999999999993</v>
      </c>
      <c r="D18" s="851">
        <f t="shared" si="18"/>
        <v>9.2728124999999998E-3</v>
      </c>
      <c r="E18" s="39">
        <f t="shared" si="19"/>
        <v>14.564324450864577</v>
      </c>
      <c r="F18" s="950">
        <v>6</v>
      </c>
      <c r="G18" s="950">
        <f t="shared" si="23"/>
        <v>12</v>
      </c>
      <c r="H18" s="950">
        <f t="shared" si="16"/>
        <v>4.1999999999999993</v>
      </c>
      <c r="I18" s="851">
        <f t="shared" si="20"/>
        <v>2.3738399999999996E-2</v>
      </c>
      <c r="J18" s="39">
        <f t="shared" si="21"/>
        <v>43.335988262557045</v>
      </c>
      <c r="K18" s="950"/>
      <c r="L18" s="950"/>
      <c r="M18" s="950"/>
      <c r="N18" s="950"/>
      <c r="O18" s="950"/>
      <c r="P18" s="950"/>
      <c r="Q18" s="950"/>
      <c r="R18" s="950"/>
      <c r="S18" s="950"/>
    </row>
    <row r="19" spans="1:19">
      <c r="A19" s="950">
        <v>7</v>
      </c>
      <c r="B19" s="950">
        <f t="shared" si="22"/>
        <v>8.75</v>
      </c>
      <c r="C19" s="950">
        <f t="shared" si="17"/>
        <v>4.8999999999999995</v>
      </c>
      <c r="D19" s="851">
        <f t="shared" si="18"/>
        <v>1.4724882812499998E-2</v>
      </c>
      <c r="E19" s="39">
        <f t="shared" si="19"/>
        <v>20.826049539897866</v>
      </c>
      <c r="F19" s="950">
        <v>7</v>
      </c>
      <c r="G19" s="950">
        <f t="shared" si="23"/>
        <v>14</v>
      </c>
      <c r="H19" s="950">
        <f t="shared" si="16"/>
        <v>4.8999999999999995</v>
      </c>
      <c r="I19" s="851">
        <f t="shared" si="20"/>
        <v>3.7695699999999999E-2</v>
      </c>
      <c r="J19" s="39">
        <f t="shared" si="21"/>
        <v>61.967682844559896</v>
      </c>
      <c r="K19" s="950"/>
      <c r="L19" s="950"/>
      <c r="M19" s="950"/>
      <c r="N19" s="950"/>
      <c r="O19" s="950"/>
      <c r="P19" s="950"/>
      <c r="Q19" s="950"/>
      <c r="R19" s="950"/>
      <c r="S19" s="950"/>
    </row>
    <row r="20" spans="1:19">
      <c r="A20" s="950">
        <v>8</v>
      </c>
      <c r="B20" s="950">
        <f t="shared" si="22"/>
        <v>10</v>
      </c>
      <c r="C20" s="950">
        <f t="shared" si="17"/>
        <v>5.6</v>
      </c>
      <c r="D20" s="851">
        <f t="shared" si="18"/>
        <v>2.1980000000000003E-2</v>
      </c>
      <c r="E20" s="39">
        <f t="shared" si="19"/>
        <v>28.388877063177365</v>
      </c>
      <c r="F20" s="950">
        <v>8</v>
      </c>
      <c r="G20" s="950">
        <f t="shared" si="23"/>
        <v>16</v>
      </c>
      <c r="H20" s="950">
        <f t="shared" si="16"/>
        <v>5.6</v>
      </c>
      <c r="I20" s="851">
        <f t="shared" si="20"/>
        <v>5.6268800000000001E-2</v>
      </c>
      <c r="J20" s="39">
        <f t="shared" si="21"/>
        <v>84.470793502818196</v>
      </c>
      <c r="K20" s="950"/>
      <c r="L20" s="950"/>
      <c r="M20" s="950"/>
      <c r="N20" s="950"/>
      <c r="O20" s="950"/>
      <c r="P20" s="950"/>
      <c r="Q20" s="950"/>
      <c r="R20" s="950"/>
      <c r="S20" s="950"/>
    </row>
    <row r="21" spans="1:19">
      <c r="A21" s="950">
        <v>9</v>
      </c>
      <c r="B21" s="950">
        <f t="shared" si="22"/>
        <v>11.25</v>
      </c>
      <c r="C21" s="950">
        <f t="shared" si="17"/>
        <v>6.3</v>
      </c>
      <c r="D21" s="851">
        <f t="shared" si="18"/>
        <v>3.1295742187500003E-2</v>
      </c>
      <c r="E21" s="39">
        <f t="shared" si="19"/>
        <v>37.309726564814468</v>
      </c>
      <c r="F21" s="950">
        <v>9</v>
      </c>
      <c r="G21" s="950">
        <f t="shared" si="23"/>
        <v>18</v>
      </c>
      <c r="H21" s="950">
        <f t="shared" si="16"/>
        <v>6.3</v>
      </c>
      <c r="I21" s="851">
        <f t="shared" si="20"/>
        <v>8.0117099999999997E-2</v>
      </c>
      <c r="J21" s="39">
        <f t="shared" si="21"/>
        <v>111.01468371888895</v>
      </c>
      <c r="K21" s="950"/>
      <c r="L21" s="950"/>
      <c r="M21" s="950"/>
      <c r="N21" s="950"/>
      <c r="O21" s="950"/>
      <c r="P21" s="950"/>
      <c r="Q21" s="950"/>
      <c r="R21" s="950"/>
      <c r="S21" s="950"/>
    </row>
    <row r="22" spans="1:19">
      <c r="A22" s="950">
        <v>10</v>
      </c>
      <c r="B22" s="950">
        <f t="shared" si="22"/>
        <v>12.5</v>
      </c>
      <c r="C22" s="950">
        <f t="shared" si="17"/>
        <v>7</v>
      </c>
      <c r="D22" s="851">
        <f t="shared" si="18"/>
        <v>4.2929687500000001E-2</v>
      </c>
      <c r="E22" s="39">
        <f t="shared" si="19"/>
        <v>47.640843726546947</v>
      </c>
      <c r="F22" s="950">
        <v>10</v>
      </c>
      <c r="G22" s="950">
        <f t="shared" si="23"/>
        <v>20</v>
      </c>
      <c r="H22" s="950">
        <f t="shared" si="16"/>
        <v>7</v>
      </c>
      <c r="I22" s="851">
        <f t="shared" si="20"/>
        <v>0.10990000000000001</v>
      </c>
      <c r="J22" s="39">
        <f t="shared" si="21"/>
        <v>141.75480994790612</v>
      </c>
      <c r="K22" s="950"/>
      <c r="L22" s="950"/>
      <c r="M22" s="950"/>
      <c r="N22" s="950"/>
      <c r="O22" s="950"/>
      <c r="P22" s="950"/>
      <c r="Q22" s="950"/>
      <c r="R22" s="950"/>
      <c r="S22" s="950"/>
    </row>
    <row r="23" spans="1:19">
      <c r="A23" s="950">
        <v>11</v>
      </c>
      <c r="B23" s="950">
        <f t="shared" si="22"/>
        <v>13.75</v>
      </c>
      <c r="C23" s="950">
        <f t="shared" si="17"/>
        <v>7.6999999999999993</v>
      </c>
      <c r="D23" s="851">
        <f t="shared" si="18"/>
        <v>5.7139414062500005E-2</v>
      </c>
      <c r="E23" s="39">
        <f t="shared" si="19"/>
        <v>59.43064913144142</v>
      </c>
      <c r="F23" s="950">
        <v>11</v>
      </c>
      <c r="G23" s="950">
        <f t="shared" si="23"/>
        <v>22</v>
      </c>
      <c r="H23" s="950">
        <f t="shared" si="16"/>
        <v>7.6999999999999993</v>
      </c>
      <c r="I23" s="851">
        <f t="shared" si="20"/>
        <v>0.14627689999999999</v>
      </c>
      <c r="J23" s="39">
        <f t="shared" si="21"/>
        <v>176.8352471057045</v>
      </c>
      <c r="K23" s="950"/>
      <c r="L23" s="950"/>
      <c r="M23" s="950"/>
      <c r="N23" s="950"/>
      <c r="O23" s="950"/>
      <c r="P23" s="950"/>
      <c r="Q23" s="950"/>
      <c r="R23" s="950"/>
      <c r="S23" s="950"/>
    </row>
    <row r="24" spans="1:19">
      <c r="A24" s="950">
        <v>12</v>
      </c>
      <c r="B24" s="950">
        <f t="shared" si="22"/>
        <v>15</v>
      </c>
      <c r="C24" s="950">
        <f t="shared" si="17"/>
        <v>8.3999999999999986</v>
      </c>
      <c r="D24" s="851">
        <f t="shared" si="18"/>
        <v>7.4182499999999998E-2</v>
      </c>
      <c r="E24" s="39">
        <f t="shared" si="19"/>
        <v>72.724364544515794</v>
      </c>
      <c r="F24" s="950">
        <v>12</v>
      </c>
      <c r="G24" s="950">
        <f t="shared" si="23"/>
        <v>24</v>
      </c>
      <c r="H24" s="950">
        <f t="shared" si="16"/>
        <v>8.3999999999999986</v>
      </c>
      <c r="I24" s="851">
        <f t="shared" si="20"/>
        <v>0.18990719999999997</v>
      </c>
      <c r="J24" s="39">
        <f t="shared" si="21"/>
        <v>216.39055205996667</v>
      </c>
      <c r="K24" s="950"/>
      <c r="L24" s="950"/>
      <c r="M24" s="950"/>
      <c r="N24" s="950"/>
      <c r="O24" s="950"/>
      <c r="P24" s="950"/>
      <c r="Q24" s="950"/>
      <c r="R24" s="950"/>
      <c r="S24" s="95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ECA1B17DFCF241982C47DFE235397C" ma:contentTypeVersion="13" ma:contentTypeDescription="Create a new document." ma:contentTypeScope="" ma:versionID="332e59f223033fc98f233c9eb50f2379">
  <xsd:schema xmlns:xsd="http://www.w3.org/2001/XMLSchema" xmlns:xs="http://www.w3.org/2001/XMLSchema" xmlns:p="http://schemas.microsoft.com/office/2006/metadata/properties" xmlns:ns3="22875af5-1963-49e3-85aa-e4e62d389726" xmlns:ns4="a5f1f24e-87ce-411b-a012-ba8e6db5a247" targetNamespace="http://schemas.microsoft.com/office/2006/metadata/properties" ma:root="true" ma:fieldsID="24a9621065c07b8e67c4ec02855f7bd0" ns3:_="" ns4:_="">
    <xsd:import namespace="22875af5-1963-49e3-85aa-e4e62d389726"/>
    <xsd:import namespace="a5f1f24e-87ce-411b-a012-ba8e6db5a24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875af5-1963-49e3-85aa-e4e62d38972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1f24e-87ce-411b-a012-ba8e6db5a2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E518EF-0C8C-422D-8F90-7EBD032BDB0E}">
  <ds:schemaRefs>
    <ds:schemaRef ds:uri="http://schemas.microsoft.com/office/infopath/2007/PartnerControls"/>
    <ds:schemaRef ds:uri="http://purl.org/dc/terms/"/>
    <ds:schemaRef ds:uri="http://schemas.microsoft.com/office/2006/metadata/properties"/>
    <ds:schemaRef ds:uri="a5f1f24e-87ce-411b-a012-ba8e6db5a247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22875af5-1963-49e3-85aa-e4e62d389726"/>
  </ds:schemaRefs>
</ds:datastoreItem>
</file>

<file path=customXml/itemProps2.xml><?xml version="1.0" encoding="utf-8"?>
<ds:datastoreItem xmlns:ds="http://schemas.openxmlformats.org/officeDocument/2006/customXml" ds:itemID="{37FD03D2-37BE-4E27-8ADA-A78F766F649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A4E988-90E8-469F-BAA6-36544E8D8C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875af5-1963-49e3-85aa-e4e62d389726"/>
    <ds:schemaRef ds:uri="a5f1f24e-87ce-411b-a012-ba8e6db5a2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Jessica Mukiri</cp:lastModifiedBy>
  <cp:lastPrinted>2019-02-05T12:26:46Z</cp:lastPrinted>
  <dcterms:created xsi:type="dcterms:W3CDTF">2014-10-29T15:17:25Z</dcterms:created>
  <dcterms:modified xsi:type="dcterms:W3CDTF">2020-08-06T11:12:20Z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0x01010098ECA1B17DFCF241982C47DFE235397C</vt:lpwstr>
  </property>
</Properties>
</file>